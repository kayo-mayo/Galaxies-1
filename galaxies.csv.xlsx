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7e04a56ff623a/Documents/"/>
    </mc:Choice>
  </mc:AlternateContent>
  <xr:revisionPtr revIDLastSave="11" documentId="8_{966E78EB-3319-42E9-947F-8B439D0757D6}" xr6:coauthVersionLast="47" xr6:coauthVersionMax="47" xr10:uidLastSave="{C73465B2-68F6-40A9-9AD3-30B7C55CEC65}"/>
  <bookViews>
    <workbookView xWindow="-110" yWindow="-110" windowWidth="19420" windowHeight="11500" xr2:uid="{A570CD9D-7D6E-46BD-B119-DBC889DAD7A4}"/>
  </bookViews>
  <sheets>
    <sheet name="galax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AG27" i="1"/>
  <c r="K27" i="1"/>
  <c r="J27" i="1"/>
  <c r="R27" i="1"/>
  <c r="AG26" i="1"/>
  <c r="K26" i="1"/>
  <c r="J26" i="1"/>
  <c r="Z26" i="1" s="1"/>
  <c r="AB26" i="1" s="1"/>
  <c r="R26" i="1"/>
  <c r="AG25" i="1"/>
  <c r="K25" i="1"/>
  <c r="J25" i="1"/>
  <c r="R25" i="1"/>
  <c r="AG24" i="1"/>
  <c r="K24" i="1"/>
  <c r="J24" i="1"/>
  <c r="R24" i="1"/>
  <c r="AG23" i="1"/>
  <c r="K23" i="1"/>
  <c r="J23" i="1"/>
  <c r="Z23" i="1" s="1"/>
  <c r="AB23" i="1" s="1"/>
  <c r="R23" i="1"/>
  <c r="AG22" i="1"/>
  <c r="K22" i="1"/>
  <c r="J22" i="1"/>
  <c r="R22" i="1"/>
  <c r="AG21" i="1"/>
  <c r="K21" i="1"/>
  <c r="J21" i="1"/>
  <c r="R21" i="1"/>
  <c r="AG20" i="1"/>
  <c r="K20" i="1"/>
  <c r="J20" i="1"/>
  <c r="R20" i="1"/>
  <c r="AG19" i="1"/>
  <c r="K19" i="1"/>
  <c r="J19" i="1"/>
  <c r="R19" i="1"/>
  <c r="AG18" i="1"/>
  <c r="K18" i="1"/>
  <c r="J18" i="1"/>
  <c r="R18" i="1"/>
  <c r="AG17" i="1"/>
  <c r="K17" i="1"/>
  <c r="J17" i="1"/>
  <c r="R17" i="1"/>
  <c r="AG16" i="1"/>
  <c r="K16" i="1"/>
  <c r="J16" i="1"/>
  <c r="R16" i="1"/>
  <c r="AG15" i="1"/>
  <c r="K15" i="1"/>
  <c r="J15" i="1"/>
  <c r="R15" i="1"/>
  <c r="AG14" i="1"/>
  <c r="K14" i="1"/>
  <c r="J14" i="1"/>
  <c r="R14" i="1"/>
  <c r="AG13" i="1"/>
  <c r="K13" i="1"/>
  <c r="J13" i="1"/>
  <c r="R13" i="1"/>
  <c r="AG12" i="1"/>
  <c r="K12" i="1"/>
  <c r="J12" i="1"/>
  <c r="R12" i="1"/>
  <c r="AG11" i="1"/>
  <c r="K11" i="1"/>
  <c r="J11" i="1"/>
  <c r="R11" i="1"/>
  <c r="AG10" i="1"/>
  <c r="K10" i="1"/>
  <c r="J10" i="1"/>
  <c r="R10" i="1"/>
  <c r="AG9" i="1"/>
  <c r="K9" i="1"/>
  <c r="J9" i="1"/>
  <c r="R9" i="1"/>
  <c r="AG8" i="1"/>
  <c r="K8" i="1"/>
  <c r="J8" i="1"/>
  <c r="R8" i="1"/>
  <c r="AG7" i="1"/>
  <c r="K7" i="1"/>
  <c r="J7" i="1"/>
  <c r="R7" i="1"/>
  <c r="AG6" i="1"/>
  <c r="K6" i="1"/>
  <c r="J6" i="1"/>
  <c r="R6" i="1"/>
  <c r="AG5" i="1"/>
  <c r="K5" i="1"/>
  <c r="J5" i="1"/>
  <c r="R5" i="1"/>
  <c r="AG4" i="1"/>
  <c r="K4" i="1"/>
  <c r="J4" i="1"/>
  <c r="R4" i="1"/>
  <c r="AG3" i="1"/>
  <c r="K3" i="1"/>
  <c r="J3" i="1"/>
  <c r="R3" i="1"/>
  <c r="AG2" i="1"/>
  <c r="K2" i="1"/>
  <c r="J2" i="1"/>
  <c r="R2" i="1"/>
  <c r="Z27" i="1" l="1"/>
  <c r="AB27" i="1" s="1"/>
  <c r="AI27" i="1"/>
  <c r="AH27" i="1"/>
  <c r="AJ27" i="1" s="1"/>
  <c r="AI26" i="1"/>
  <c r="AH26" i="1"/>
  <c r="AJ26" i="1" s="1"/>
  <c r="AI25" i="1"/>
  <c r="AH25" i="1"/>
  <c r="AJ25" i="1" s="1"/>
  <c r="AI24" i="1"/>
  <c r="AH24" i="1"/>
  <c r="AJ24" i="1" s="1"/>
  <c r="AI23" i="1"/>
  <c r="AH23" i="1"/>
  <c r="AJ23" i="1" s="1"/>
  <c r="AI22" i="1"/>
  <c r="AH22" i="1"/>
  <c r="AJ22" i="1" s="1"/>
  <c r="AD22" i="1"/>
  <c r="AF22" i="1" s="1"/>
  <c r="Z22" i="1"/>
  <c r="AB22" i="1" s="1"/>
  <c r="AI21" i="1"/>
  <c r="AH21" i="1"/>
  <c r="AJ21" i="1" s="1"/>
  <c r="AI20" i="1"/>
  <c r="AH20" i="1"/>
  <c r="AJ20" i="1" s="1"/>
  <c r="AI19" i="1"/>
  <c r="AH19" i="1"/>
  <c r="AJ19" i="1" s="1"/>
  <c r="AI18" i="1"/>
  <c r="AH18" i="1"/>
  <c r="AJ18" i="1" s="1"/>
  <c r="AI17" i="1"/>
  <c r="AH17" i="1"/>
  <c r="AJ17" i="1" s="1"/>
  <c r="AI16" i="1"/>
  <c r="AH16" i="1"/>
  <c r="AJ16" i="1" s="1"/>
  <c r="AI15" i="1"/>
  <c r="AH15" i="1"/>
  <c r="AJ15" i="1" s="1"/>
  <c r="AI14" i="1"/>
  <c r="AH14" i="1"/>
  <c r="AJ14" i="1" s="1"/>
  <c r="AI13" i="1"/>
  <c r="AH13" i="1"/>
  <c r="AJ13" i="1" s="1"/>
  <c r="AI12" i="1"/>
  <c r="AH12" i="1"/>
  <c r="AJ12" i="1" s="1"/>
  <c r="AI11" i="1"/>
  <c r="AH11" i="1"/>
  <c r="AJ11" i="1" s="1"/>
  <c r="AI10" i="1"/>
  <c r="AH10" i="1"/>
  <c r="AJ10" i="1" s="1"/>
  <c r="AI9" i="1"/>
  <c r="AH9" i="1"/>
  <c r="AJ9" i="1" s="1"/>
  <c r="AI8" i="1"/>
  <c r="AH8" i="1"/>
  <c r="AJ8" i="1" s="1"/>
  <c r="AI7" i="1"/>
  <c r="AH7" i="1"/>
  <c r="AJ7" i="1" s="1"/>
  <c r="AI6" i="1"/>
  <c r="AH6" i="1"/>
  <c r="AJ6" i="1" s="1"/>
  <c r="AI5" i="1"/>
  <c r="AH5" i="1"/>
  <c r="AJ5" i="1" s="1"/>
  <c r="AI4" i="1"/>
  <c r="AH4" i="1"/>
  <c r="AJ4" i="1" s="1"/>
  <c r="AI3" i="1"/>
  <c r="AH3" i="1"/>
  <c r="AJ3" i="1" s="1"/>
  <c r="AI2" i="1"/>
  <c r="AH2" i="1"/>
  <c r="AJ2" i="1" s="1"/>
  <c r="V27" i="1"/>
  <c r="X27" i="1" s="1"/>
  <c r="AD27" i="1"/>
  <c r="AF27" i="1" s="1"/>
  <c r="V26" i="1"/>
  <c r="X26" i="1" s="1"/>
  <c r="AD26" i="1"/>
  <c r="AF26" i="1" s="1"/>
  <c r="V25" i="1"/>
  <c r="X25" i="1" s="1"/>
  <c r="AD25" i="1"/>
  <c r="AF25" i="1" s="1"/>
  <c r="Z25" i="1"/>
  <c r="AB25" i="1" s="1"/>
  <c r="V24" i="1"/>
  <c r="X24" i="1" s="1"/>
  <c r="AD24" i="1"/>
  <c r="AF24" i="1" s="1"/>
  <c r="Z24" i="1"/>
  <c r="AB24" i="1" s="1"/>
  <c r="V23" i="1"/>
  <c r="X23" i="1" s="1"/>
  <c r="AD23" i="1"/>
  <c r="AF23" i="1" s="1"/>
  <c r="Z21" i="1"/>
  <c r="AB21" i="1" s="1"/>
  <c r="AD21" i="1"/>
  <c r="AF21" i="1" s="1"/>
  <c r="Z20" i="1"/>
  <c r="AB20" i="1" s="1"/>
  <c r="AD20" i="1"/>
  <c r="AF20" i="1" s="1"/>
  <c r="V19" i="1"/>
  <c r="X19" i="1" s="1"/>
  <c r="Z19" i="1"/>
  <c r="AB19" i="1" s="1"/>
  <c r="AD19" i="1"/>
  <c r="AF19" i="1" s="1"/>
  <c r="V18" i="1"/>
  <c r="X18" i="1" s="1"/>
  <c r="Z18" i="1"/>
  <c r="AB18" i="1" s="1"/>
  <c r="AD18" i="1"/>
  <c r="AF18" i="1" s="1"/>
  <c r="V17" i="1"/>
  <c r="X17" i="1" s="1"/>
  <c r="Z17" i="1"/>
  <c r="AB17" i="1" s="1"/>
  <c r="AD17" i="1"/>
  <c r="AF17" i="1" s="1"/>
  <c r="V16" i="1"/>
  <c r="X16" i="1" s="1"/>
  <c r="AD16" i="1"/>
  <c r="AF16" i="1" s="1"/>
  <c r="Z16" i="1"/>
  <c r="AB16" i="1" s="1"/>
  <c r="V15" i="1"/>
  <c r="X15" i="1" s="1"/>
  <c r="AD15" i="1"/>
  <c r="AF15" i="1" s="1"/>
  <c r="Z15" i="1"/>
  <c r="AB15" i="1" s="1"/>
  <c r="V14" i="1"/>
  <c r="X14" i="1" s="1"/>
  <c r="Z14" i="1"/>
  <c r="AB14" i="1" s="1"/>
  <c r="AD14" i="1"/>
  <c r="AF14" i="1" s="1"/>
  <c r="AD13" i="1"/>
  <c r="AF13" i="1" s="1"/>
  <c r="Z13" i="1"/>
  <c r="AB13" i="1" s="1"/>
  <c r="V12" i="1"/>
  <c r="X12" i="1" s="1"/>
  <c r="AD12" i="1"/>
  <c r="AF12" i="1" s="1"/>
  <c r="Z12" i="1"/>
  <c r="AB12" i="1" s="1"/>
  <c r="V11" i="1"/>
  <c r="X11" i="1" s="1"/>
  <c r="Z11" i="1"/>
  <c r="AB11" i="1" s="1"/>
  <c r="AD11" i="1"/>
  <c r="AF11" i="1" s="1"/>
  <c r="Z10" i="1"/>
  <c r="AB10" i="1" s="1"/>
  <c r="AD10" i="1"/>
  <c r="AF10" i="1" s="1"/>
  <c r="V9" i="1"/>
  <c r="X9" i="1" s="1"/>
  <c r="Z9" i="1"/>
  <c r="AB9" i="1" s="1"/>
  <c r="AD9" i="1"/>
  <c r="AF9" i="1" s="1"/>
  <c r="Z8" i="1"/>
  <c r="AB8" i="1" s="1"/>
  <c r="AD8" i="1"/>
  <c r="AF8" i="1" s="1"/>
  <c r="V7" i="1"/>
  <c r="X7" i="1" s="1"/>
  <c r="AD7" i="1"/>
  <c r="AF7" i="1" s="1"/>
  <c r="Z7" i="1"/>
  <c r="AB7" i="1" s="1"/>
  <c r="V6" i="1"/>
  <c r="X6" i="1" s="1"/>
  <c r="Z6" i="1"/>
  <c r="AB6" i="1" s="1"/>
  <c r="AD6" i="1"/>
  <c r="AF6" i="1" s="1"/>
  <c r="V5" i="1"/>
  <c r="X5" i="1" s="1"/>
  <c r="Z5" i="1"/>
  <c r="AB5" i="1" s="1"/>
  <c r="AD5" i="1"/>
  <c r="AF5" i="1" s="1"/>
  <c r="V4" i="1"/>
  <c r="X4" i="1" s="1"/>
  <c r="AD4" i="1"/>
  <c r="AF4" i="1" s="1"/>
  <c r="Z4" i="1"/>
  <c r="AB4" i="1" s="1"/>
  <c r="V3" i="1"/>
  <c r="X3" i="1" s="1"/>
  <c r="Z3" i="1"/>
  <c r="AB3" i="1" s="1"/>
  <c r="AD3" i="1"/>
  <c r="AF3" i="1" s="1"/>
  <c r="Z2" i="1"/>
  <c r="AB2" i="1" s="1"/>
  <c r="AD2" i="1"/>
  <c r="AF2" i="1" s="1"/>
  <c r="V2" i="1"/>
  <c r="X2" i="1" s="1"/>
  <c r="V22" i="1"/>
  <c r="X22" i="1" s="1"/>
  <c r="V20" i="1"/>
  <c r="X20" i="1" s="1"/>
  <c r="V10" i="1"/>
  <c r="X10" i="1" s="1"/>
  <c r="AC21" i="1"/>
  <c r="AE21" i="1" s="1"/>
  <c r="AO21" i="1" s="1"/>
  <c r="V21" i="1"/>
  <c r="X21" i="1" s="1"/>
  <c r="AC13" i="1"/>
  <c r="AE13" i="1" s="1"/>
  <c r="AO13" i="1" s="1"/>
  <c r="V13" i="1"/>
  <c r="X13" i="1" s="1"/>
  <c r="Y8" i="1"/>
  <c r="AA8" i="1" s="1"/>
  <c r="V8" i="1"/>
  <c r="X8" i="1" s="1"/>
  <c r="U26" i="1"/>
  <c r="W26" i="1" s="1"/>
  <c r="AC26" i="1"/>
  <c r="AE26" i="1" s="1"/>
  <c r="AO26" i="1" s="1"/>
  <c r="Y26" i="1"/>
  <c r="AA26" i="1" s="1"/>
  <c r="U18" i="1"/>
  <c r="W18" i="1" s="1"/>
  <c r="AC18" i="1"/>
  <c r="AE18" i="1" s="1"/>
  <c r="AO18" i="1" s="1"/>
  <c r="Y18" i="1"/>
  <c r="AA18" i="1" s="1"/>
  <c r="U8" i="1"/>
  <c r="W8" i="1" s="1"/>
  <c r="AC8" i="1"/>
  <c r="AE8" i="1" s="1"/>
  <c r="AO8" i="1" s="1"/>
  <c r="U13" i="1"/>
  <c r="W13" i="1" s="1"/>
  <c r="Y13" i="1"/>
  <c r="AA13" i="1" s="1"/>
  <c r="AC27" i="1"/>
  <c r="AE27" i="1" s="1"/>
  <c r="AO27" i="1" s="1"/>
  <c r="Y27" i="1"/>
  <c r="AA27" i="1" s="1"/>
  <c r="U27" i="1"/>
  <c r="W27" i="1" s="1"/>
  <c r="AC25" i="1"/>
  <c r="AE25" i="1" s="1"/>
  <c r="AO25" i="1" s="1"/>
  <c r="Y25" i="1"/>
  <c r="AA25" i="1" s="1"/>
  <c r="U25" i="1"/>
  <c r="W25" i="1" s="1"/>
  <c r="AC24" i="1"/>
  <c r="AE24" i="1" s="1"/>
  <c r="AO24" i="1" s="1"/>
  <c r="Y24" i="1"/>
  <c r="AA24" i="1" s="1"/>
  <c r="U24" i="1"/>
  <c r="W24" i="1" s="1"/>
  <c r="AC23" i="1"/>
  <c r="AE23" i="1" s="1"/>
  <c r="AO23" i="1" s="1"/>
  <c r="Y23" i="1"/>
  <c r="AA23" i="1" s="1"/>
  <c r="U23" i="1"/>
  <c r="W23" i="1" s="1"/>
  <c r="AC22" i="1"/>
  <c r="AE22" i="1" s="1"/>
  <c r="AO22" i="1" s="1"/>
  <c r="U22" i="1"/>
  <c r="W22" i="1" s="1"/>
  <c r="Y22" i="1"/>
  <c r="AA22" i="1" s="1"/>
  <c r="U21" i="1"/>
  <c r="W21" i="1" s="1"/>
  <c r="Y21" i="1"/>
  <c r="AA21" i="1" s="1"/>
  <c r="U20" i="1"/>
  <c r="W20" i="1" s="1"/>
  <c r="AC20" i="1"/>
  <c r="AE20" i="1" s="1"/>
  <c r="AO20" i="1" s="1"/>
  <c r="Y20" i="1"/>
  <c r="AA20" i="1" s="1"/>
  <c r="AC19" i="1"/>
  <c r="AE19" i="1" s="1"/>
  <c r="Y19" i="1"/>
  <c r="AA19" i="1" s="1"/>
  <c r="U19" i="1"/>
  <c r="W19" i="1" s="1"/>
  <c r="U17" i="1"/>
  <c r="W17" i="1" s="1"/>
  <c r="AC17" i="1"/>
  <c r="AE17" i="1" s="1"/>
  <c r="AO17" i="1" s="1"/>
  <c r="Y17" i="1"/>
  <c r="AA17" i="1" s="1"/>
  <c r="AC16" i="1"/>
  <c r="AE16" i="1" s="1"/>
  <c r="AO16" i="1" s="1"/>
  <c r="U16" i="1"/>
  <c r="W16" i="1" s="1"/>
  <c r="Y16" i="1"/>
  <c r="AA16" i="1" s="1"/>
  <c r="AC15" i="1"/>
  <c r="AE15" i="1" s="1"/>
  <c r="AO15" i="1" s="1"/>
  <c r="Y15" i="1"/>
  <c r="AA15" i="1" s="1"/>
  <c r="U15" i="1"/>
  <c r="W15" i="1" s="1"/>
  <c r="U14" i="1"/>
  <c r="W14" i="1" s="1"/>
  <c r="AC14" i="1"/>
  <c r="AE14" i="1" s="1"/>
  <c r="AO14" i="1" s="1"/>
  <c r="Y14" i="1"/>
  <c r="AA14" i="1" s="1"/>
  <c r="Y12" i="1"/>
  <c r="AA12" i="1" s="1"/>
  <c r="AC12" i="1"/>
  <c r="AE12" i="1" s="1"/>
  <c r="AO12" i="1" s="1"/>
  <c r="U12" i="1"/>
  <c r="W12" i="1" s="1"/>
  <c r="AC11" i="1"/>
  <c r="AE11" i="1" s="1"/>
  <c r="AO11" i="1" s="1"/>
  <c r="Y11" i="1"/>
  <c r="AA11" i="1" s="1"/>
  <c r="U11" i="1"/>
  <c r="W11" i="1" s="1"/>
  <c r="AC10" i="1"/>
  <c r="AE10" i="1" s="1"/>
  <c r="AO10" i="1" s="1"/>
  <c r="Y10" i="1"/>
  <c r="AA10" i="1" s="1"/>
  <c r="U10" i="1"/>
  <c r="W10" i="1" s="1"/>
  <c r="AC9" i="1"/>
  <c r="AE9" i="1" s="1"/>
  <c r="AO9" i="1" s="1"/>
  <c r="Y9" i="1"/>
  <c r="AA9" i="1" s="1"/>
  <c r="U9" i="1"/>
  <c r="W9" i="1" s="1"/>
  <c r="AC7" i="1"/>
  <c r="AE7" i="1" s="1"/>
  <c r="Y7" i="1"/>
  <c r="AA7" i="1" s="1"/>
  <c r="U7" i="1"/>
  <c r="W7" i="1" s="1"/>
  <c r="U6" i="1"/>
  <c r="W6" i="1" s="1"/>
  <c r="AC6" i="1"/>
  <c r="AE6" i="1" s="1"/>
  <c r="AO6" i="1" s="1"/>
  <c r="Y6" i="1"/>
  <c r="AA6" i="1" s="1"/>
  <c r="AC5" i="1"/>
  <c r="AE5" i="1" s="1"/>
  <c r="AO5" i="1" s="1"/>
  <c r="Y5" i="1"/>
  <c r="AA5" i="1" s="1"/>
  <c r="U5" i="1"/>
  <c r="W5" i="1" s="1"/>
  <c r="AC4" i="1"/>
  <c r="AE4" i="1" s="1"/>
  <c r="U4" i="1"/>
  <c r="W4" i="1" s="1"/>
  <c r="Y4" i="1"/>
  <c r="AA4" i="1" s="1"/>
  <c r="AC3" i="1"/>
  <c r="AE3" i="1" s="1"/>
  <c r="AO3" i="1" s="1"/>
  <c r="Y3" i="1"/>
  <c r="AA3" i="1" s="1"/>
  <c r="U3" i="1"/>
  <c r="W3" i="1" s="1"/>
  <c r="AC2" i="1"/>
  <c r="AE2" i="1" s="1"/>
  <c r="AO2" i="1" s="1"/>
  <c r="Y2" i="1"/>
  <c r="AA2" i="1" s="1"/>
  <c r="U2" i="1"/>
  <c r="W2" i="1" s="1"/>
  <c r="AO4" i="1" l="1"/>
  <c r="AL27" i="1"/>
  <c r="AP27" i="1"/>
  <c r="AN27" i="1"/>
  <c r="AL26" i="1"/>
  <c r="AP26" i="1"/>
  <c r="AN26" i="1"/>
  <c r="AL25" i="1"/>
  <c r="AP25" i="1"/>
  <c r="AN25" i="1"/>
  <c r="AN24" i="1"/>
  <c r="AL24" i="1"/>
  <c r="AP24" i="1"/>
  <c r="AL23" i="1"/>
  <c r="AN23" i="1"/>
  <c r="AP23" i="1"/>
  <c r="AP22" i="1"/>
  <c r="AL22" i="1"/>
  <c r="AN22" i="1"/>
  <c r="AP21" i="1"/>
  <c r="AN21" i="1"/>
  <c r="AL21" i="1"/>
  <c r="AL20" i="1"/>
  <c r="AP20" i="1"/>
  <c r="AN20" i="1"/>
  <c r="AL19" i="1"/>
  <c r="AN19" i="1"/>
  <c r="AP19" i="1"/>
  <c r="AL18" i="1"/>
  <c r="AP18" i="1"/>
  <c r="AN18" i="1"/>
  <c r="AP17" i="1"/>
  <c r="AL17" i="1"/>
  <c r="AN17" i="1"/>
  <c r="AP16" i="1"/>
  <c r="AL16" i="1"/>
  <c r="AN16" i="1"/>
  <c r="AP15" i="1"/>
  <c r="AL15" i="1"/>
  <c r="AN15" i="1"/>
  <c r="AN14" i="1"/>
  <c r="AL14" i="1"/>
  <c r="AP14" i="1"/>
  <c r="AP13" i="1"/>
  <c r="AL13" i="1"/>
  <c r="AN13" i="1"/>
  <c r="AP12" i="1"/>
  <c r="AL12" i="1"/>
  <c r="AN12" i="1"/>
  <c r="AN11" i="1"/>
  <c r="AP11" i="1"/>
  <c r="AL11" i="1"/>
  <c r="AP10" i="1"/>
  <c r="AL10" i="1"/>
  <c r="AN10" i="1"/>
  <c r="AP9" i="1"/>
  <c r="AL9" i="1"/>
  <c r="AN9" i="1"/>
  <c r="AP8" i="1"/>
  <c r="AL8" i="1"/>
  <c r="AN8" i="1"/>
  <c r="AP7" i="1"/>
  <c r="AL7" i="1"/>
  <c r="AN7" i="1"/>
  <c r="AL6" i="1"/>
  <c r="AP6" i="1"/>
  <c r="AN6" i="1"/>
  <c r="AL5" i="1"/>
  <c r="AN5" i="1"/>
  <c r="AP5" i="1"/>
  <c r="AL4" i="1"/>
  <c r="AP4" i="1"/>
  <c r="AN4" i="1"/>
  <c r="AN3" i="1"/>
  <c r="AL3" i="1"/>
  <c r="AP3" i="1"/>
  <c r="AP2" i="1"/>
  <c r="AL2" i="1"/>
  <c r="AN2" i="1"/>
  <c r="AM8" i="1"/>
  <c r="AM26" i="1"/>
  <c r="AM18" i="1"/>
  <c r="AM13" i="1"/>
  <c r="AM27" i="1"/>
  <c r="AM25" i="1"/>
  <c r="AM24" i="1"/>
  <c r="AM23" i="1"/>
  <c r="AM22" i="1"/>
  <c r="AM21" i="1"/>
  <c r="AM20" i="1"/>
  <c r="AM19" i="1"/>
  <c r="AM17" i="1"/>
  <c r="AM16" i="1"/>
  <c r="AM15" i="1"/>
  <c r="AM14" i="1"/>
  <c r="AM12" i="1"/>
  <c r="AM11" i="1"/>
  <c r="AM10" i="1"/>
  <c r="AM9" i="1"/>
  <c r="AM7" i="1"/>
  <c r="AM6" i="1"/>
  <c r="AM5" i="1"/>
  <c r="AM4" i="1"/>
  <c r="AM3" i="1"/>
  <c r="AM2" i="1"/>
  <c r="AK26" i="1"/>
  <c r="AK8" i="1"/>
  <c r="AK13" i="1"/>
  <c r="AK27" i="1"/>
  <c r="AK25" i="1"/>
  <c r="AK24" i="1"/>
  <c r="AK23" i="1"/>
  <c r="AK22" i="1"/>
  <c r="AK21" i="1"/>
  <c r="AK20" i="1"/>
  <c r="AK19" i="1"/>
  <c r="AK17" i="1"/>
  <c r="AK16" i="1"/>
  <c r="AK15" i="1"/>
  <c r="AK14" i="1"/>
  <c r="AK12" i="1"/>
  <c r="AK11" i="1"/>
  <c r="AK10" i="1"/>
  <c r="AK9" i="1"/>
  <c r="AK7" i="1"/>
  <c r="AK6" i="1"/>
  <c r="AK5" i="1"/>
  <c r="AK4" i="1"/>
  <c r="AK3" i="1"/>
  <c r="AK2" i="1"/>
  <c r="AK18" i="1"/>
  <c r="AO19" i="1"/>
  <c r="AO7" i="1"/>
</calcChain>
</file>

<file path=xl/sharedStrings.xml><?xml version="1.0" encoding="utf-8"?>
<sst xmlns="http://schemas.openxmlformats.org/spreadsheetml/2006/main" count="71" uniqueCount="55">
  <si>
    <t>Galaxy</t>
  </si>
  <si>
    <t>log(FUV (W))</t>
  </si>
  <si>
    <t>log(NUV (W))</t>
  </si>
  <si>
    <t>Distance (Mpc)</t>
  </si>
  <si>
    <t>Distance (m)</t>
  </si>
  <si>
    <t>Misc</t>
  </si>
  <si>
    <t>Lum_FUV (erg/s)</t>
  </si>
  <si>
    <t>SFR_FUV (solmass/yr)</t>
  </si>
  <si>
    <t>NGC 0024</t>
  </si>
  <si>
    <t>NGC 0925</t>
  </si>
  <si>
    <t>NGC 1097</t>
  </si>
  <si>
    <t>NGC 1291</t>
  </si>
  <si>
    <t>Ring</t>
  </si>
  <si>
    <t>NGC 1512</t>
  </si>
  <si>
    <t>NGC 1566</t>
  </si>
  <si>
    <t>NGC 2798</t>
  </si>
  <si>
    <t>Interacting</t>
  </si>
  <si>
    <t>NGC 2841</t>
  </si>
  <si>
    <t>NGC 3190</t>
  </si>
  <si>
    <t>NGC 3198</t>
  </si>
  <si>
    <t>NGC 3621</t>
  </si>
  <si>
    <t>NGC 3627</t>
  </si>
  <si>
    <t>NGC 4536</t>
  </si>
  <si>
    <t>NGC 4559</t>
  </si>
  <si>
    <t>NGC 4569</t>
  </si>
  <si>
    <t>NGC 4625</t>
  </si>
  <si>
    <t>Dwarf</t>
  </si>
  <si>
    <t>NGC 4736</t>
  </si>
  <si>
    <t>NGC 5055</t>
  </si>
  <si>
    <t>NGC 5713</t>
  </si>
  <si>
    <t>NGC 7331</t>
  </si>
  <si>
    <t>NGC 7793</t>
  </si>
  <si>
    <t>e_logFUV</t>
  </si>
  <si>
    <t>e_logNUV</t>
  </si>
  <si>
    <t>e_Dist (m)</t>
  </si>
  <si>
    <t>e_Dist (Mpc)</t>
  </si>
  <si>
    <t>e_Fha</t>
  </si>
  <si>
    <t>NGC 0337</t>
  </si>
  <si>
    <t>NGC 0628</t>
  </si>
  <si>
    <t>NGC 2403</t>
  </si>
  <si>
    <t>NGC 3521</t>
  </si>
  <si>
    <t>NGC 4631</t>
  </si>
  <si>
    <t>e_Lum_FUV</t>
  </si>
  <si>
    <t>e_SFR_FUV</t>
  </si>
  <si>
    <t>FHα (aW/m^2)</t>
  </si>
  <si>
    <t>Lum_Hα (erg/s)</t>
  </si>
  <si>
    <t>e_LHα</t>
  </si>
  <si>
    <t>SFR_Hα (solmass/yr)</t>
  </si>
  <si>
    <t>e_SFR_Hα</t>
  </si>
  <si>
    <t>e_log(SFRFUV/SFRHα)</t>
  </si>
  <si>
    <t>log(SFRFUV/SFRHα)</t>
  </si>
  <si>
    <t>UV Color Proxy≈−5.59log(FUV​/NUV​)</t>
  </si>
  <si>
    <t>e_UV Color proxy</t>
  </si>
  <si>
    <t>e_asyFUV</t>
  </si>
  <si>
    <t>e_asyNUV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</si>
</sst>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UV Color Proxy </a:t>
            </a:r>
            <a:r>
              <a:rPr lang="en-US"/>
              <a:t>vs</a:t>
            </a:r>
            <a:r>
              <a:rPr lang="en-US" baseline="0"/>
              <a:t> Ratio of Star Formation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1">
                    <a:alpha val="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alpha val="40000"/>
                  </a:schemeClr>
                </a:solidFill>
                <a:prstDash val="solid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-0.4077035703002459"/>
                  <c:y val="-0.42249396909487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25400" cap="rnd">
                <a:solidFill>
                  <a:srgbClr val="FFC000">
                    <a:alpha val="40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760675329328399"/>
                  <c:y val="-0.38635688711431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(galaxies!$AL$2:$AL$3,galaxies!$AL$5:$AL$9,galaxies!$AL$11:$AL$14,galaxies!$AL$16:$AL$21,galaxies!$AL$23:$AL$27)</c:f>
                <c:numCache>
                  <c:formatCode>General</c:formatCode>
                  <c:ptCount val="22"/>
                  <c:pt idx="0">
                    <c:v>8.6360860553249522E-4</c:v>
                  </c:pt>
                  <c:pt idx="1">
                    <c:v>2.8269424103977824E-3</c:v>
                  </c:pt>
                  <c:pt idx="2">
                    <c:v>2.3513482799679872E-3</c:v>
                  </c:pt>
                  <c:pt idx="3">
                    <c:v>1.2983056665072519E-2</c:v>
                  </c:pt>
                  <c:pt idx="4">
                    <c:v>9.3608861070020402E-4</c:v>
                  </c:pt>
                  <c:pt idx="5">
                    <c:v>2.83365489258395E-3</c:v>
                  </c:pt>
                  <c:pt idx="6">
                    <c:v>9.1695274916715544E-3</c:v>
                  </c:pt>
                  <c:pt idx="7">
                    <c:v>1.0030370173920804E-3</c:v>
                  </c:pt>
                  <c:pt idx="8">
                    <c:v>1.8043341181056072E-3</c:v>
                  </c:pt>
                  <c:pt idx="9">
                    <c:v>7.8045336390711675E-4</c:v>
                  </c:pt>
                  <c:pt idx="10">
                    <c:v>2.8596768607405112E-3</c:v>
                  </c:pt>
                  <c:pt idx="11">
                    <c:v>1.2743448424474259E-2</c:v>
                  </c:pt>
                  <c:pt idx="12">
                    <c:v>1.7632624592705366E-3</c:v>
                  </c:pt>
                  <c:pt idx="13">
                    <c:v>2.2198159176388811E-3</c:v>
                  </c:pt>
                  <c:pt idx="14">
                    <c:v>4.4291150466329622E-3</c:v>
                  </c:pt>
                  <c:pt idx="15">
                    <c:v>1.4666178325534063E-3</c:v>
                  </c:pt>
                  <c:pt idx="16">
                    <c:v>8.2473981550773286E-4</c:v>
                  </c:pt>
                  <c:pt idx="17">
                    <c:v>1.5007797504031685E-3</c:v>
                  </c:pt>
                  <c:pt idx="18">
                    <c:v>1.8252273225078666E-3</c:v>
                  </c:pt>
                  <c:pt idx="19">
                    <c:v>2.1692867383315689E-3</c:v>
                  </c:pt>
                  <c:pt idx="20">
                    <c:v>2.0716527521034405E-3</c:v>
                  </c:pt>
                  <c:pt idx="21">
                    <c:v>7.8762040921097299E-4</c:v>
                  </c:pt>
                </c:numCache>
              </c:numRef>
            </c:plus>
            <c:minus>
              <c:numRef>
                <c:f>(galaxies!$AL$2:$AL$3,galaxies!$AL$5:$AL$9,galaxies!$AL$11:$AL$14,galaxies!$AL$16:$AL$21,galaxies!$AL$23:$AL$27)</c:f>
                <c:numCache>
                  <c:formatCode>General</c:formatCode>
                  <c:ptCount val="22"/>
                  <c:pt idx="0">
                    <c:v>8.6360860553249522E-4</c:v>
                  </c:pt>
                  <c:pt idx="1">
                    <c:v>2.8269424103977824E-3</c:v>
                  </c:pt>
                  <c:pt idx="2">
                    <c:v>2.3513482799679872E-3</c:v>
                  </c:pt>
                  <c:pt idx="3">
                    <c:v>1.2983056665072519E-2</c:v>
                  </c:pt>
                  <c:pt idx="4">
                    <c:v>9.3608861070020402E-4</c:v>
                  </c:pt>
                  <c:pt idx="5">
                    <c:v>2.83365489258395E-3</c:v>
                  </c:pt>
                  <c:pt idx="6">
                    <c:v>9.1695274916715544E-3</c:v>
                  </c:pt>
                  <c:pt idx="7">
                    <c:v>1.0030370173920804E-3</c:v>
                  </c:pt>
                  <c:pt idx="8">
                    <c:v>1.8043341181056072E-3</c:v>
                  </c:pt>
                  <c:pt idx="9">
                    <c:v>7.8045336390711675E-4</c:v>
                  </c:pt>
                  <c:pt idx="10">
                    <c:v>2.8596768607405112E-3</c:v>
                  </c:pt>
                  <c:pt idx="11">
                    <c:v>1.2743448424474259E-2</c:v>
                  </c:pt>
                  <c:pt idx="12">
                    <c:v>1.7632624592705366E-3</c:v>
                  </c:pt>
                  <c:pt idx="13">
                    <c:v>2.2198159176388811E-3</c:v>
                  </c:pt>
                  <c:pt idx="14">
                    <c:v>4.4291150466329622E-3</c:v>
                  </c:pt>
                  <c:pt idx="15">
                    <c:v>1.4666178325534063E-3</c:v>
                  </c:pt>
                  <c:pt idx="16">
                    <c:v>8.2473981550773286E-4</c:v>
                  </c:pt>
                  <c:pt idx="17">
                    <c:v>1.5007797504031685E-3</c:v>
                  </c:pt>
                  <c:pt idx="18">
                    <c:v>1.8252273225078666E-3</c:v>
                  </c:pt>
                  <c:pt idx="19">
                    <c:v>2.1692867383315689E-3</c:v>
                  </c:pt>
                  <c:pt idx="20">
                    <c:v>2.0716527521034405E-3</c:v>
                  </c:pt>
                  <c:pt idx="21">
                    <c:v>7.8762040921097299E-4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(galaxies!$AR$2:$AR$3,galaxies!$AR$5:$AR$9,galaxies!$AR$11:$AR$14,galaxies!$AR$16:$AR$21,galaxies!$AR$23:$AR$27)</c:f>
                <c:numCache>
                  <c:formatCode>General</c:formatCode>
                  <c:ptCount val="22"/>
                  <c:pt idx="0">
                    <c:v>5.6568542494923801E-3</c:v>
                  </c:pt>
                  <c:pt idx="1">
                    <c:v>5.6568542494923801E-3</c:v>
                  </c:pt>
                  <c:pt idx="2">
                    <c:v>5.6568542494923801E-3</c:v>
                  </c:pt>
                  <c:pt idx="3">
                    <c:v>0.02</c:v>
                  </c:pt>
                  <c:pt idx="4">
                    <c:v>5.6568542494923801E-3</c:v>
                  </c:pt>
                  <c:pt idx="5">
                    <c:v>1.131370849898476E-2</c:v>
                  </c:pt>
                  <c:pt idx="6">
                    <c:v>8.9442719099991578E-3</c:v>
                  </c:pt>
                  <c:pt idx="7">
                    <c:v>5.6568542494923801E-3</c:v>
                  </c:pt>
                  <c:pt idx="8">
                    <c:v>5.6568542494923801E-3</c:v>
                  </c:pt>
                  <c:pt idx="9">
                    <c:v>8.9442719099991578E-3</c:v>
                  </c:pt>
                  <c:pt idx="10">
                    <c:v>5.6568542494923801E-3</c:v>
                  </c:pt>
                  <c:pt idx="11">
                    <c:v>2.5612496949731396E-2</c:v>
                  </c:pt>
                  <c:pt idx="12">
                    <c:v>5.6568542494923801E-3</c:v>
                  </c:pt>
                  <c:pt idx="13">
                    <c:v>5.6568542494923801E-3</c:v>
                  </c:pt>
                  <c:pt idx="14">
                    <c:v>5.6568542494923801E-3</c:v>
                  </c:pt>
                  <c:pt idx="15">
                    <c:v>5.6568542494923801E-3</c:v>
                  </c:pt>
                  <c:pt idx="16">
                    <c:v>5.6568542494923801E-3</c:v>
                  </c:pt>
                  <c:pt idx="17">
                    <c:v>5.6568542494923801E-3</c:v>
                  </c:pt>
                  <c:pt idx="18">
                    <c:v>5.6568542494923801E-3</c:v>
                  </c:pt>
                  <c:pt idx="19">
                    <c:v>5.6568542494923801E-3</c:v>
                  </c:pt>
                  <c:pt idx="20">
                    <c:v>5.6568542494923801E-3</c:v>
                  </c:pt>
                  <c:pt idx="21">
                    <c:v>5.6568542494923801E-3</c:v>
                  </c:pt>
                </c:numCache>
              </c:numRef>
            </c:plus>
            <c:minus>
              <c:numRef>
                <c:f>(galaxies!$AR$2:$AR$3,galaxies!$AR$5:$AR$9,galaxies!$AR$11:$AR$14,galaxies!$AR$16:$AR$21,galaxies!$AR$23:$AR$27)</c:f>
                <c:numCache>
                  <c:formatCode>General</c:formatCode>
                  <c:ptCount val="22"/>
                  <c:pt idx="0">
                    <c:v>5.6568542494923801E-3</c:v>
                  </c:pt>
                  <c:pt idx="1">
                    <c:v>5.6568542494923801E-3</c:v>
                  </c:pt>
                  <c:pt idx="2">
                    <c:v>5.6568542494923801E-3</c:v>
                  </c:pt>
                  <c:pt idx="3">
                    <c:v>0.02</c:v>
                  </c:pt>
                  <c:pt idx="4">
                    <c:v>5.6568542494923801E-3</c:v>
                  </c:pt>
                  <c:pt idx="5">
                    <c:v>1.131370849898476E-2</c:v>
                  </c:pt>
                  <c:pt idx="6">
                    <c:v>8.9442719099991578E-3</c:v>
                  </c:pt>
                  <c:pt idx="7">
                    <c:v>5.6568542494923801E-3</c:v>
                  </c:pt>
                  <c:pt idx="8">
                    <c:v>5.6568542494923801E-3</c:v>
                  </c:pt>
                  <c:pt idx="9">
                    <c:v>8.9442719099991578E-3</c:v>
                  </c:pt>
                  <c:pt idx="10">
                    <c:v>5.6568542494923801E-3</c:v>
                  </c:pt>
                  <c:pt idx="11">
                    <c:v>2.5612496949731396E-2</c:v>
                  </c:pt>
                  <c:pt idx="12">
                    <c:v>5.6568542494923801E-3</c:v>
                  </c:pt>
                  <c:pt idx="13">
                    <c:v>5.6568542494923801E-3</c:v>
                  </c:pt>
                  <c:pt idx="14">
                    <c:v>5.6568542494923801E-3</c:v>
                  </c:pt>
                  <c:pt idx="15">
                    <c:v>5.6568542494923801E-3</c:v>
                  </c:pt>
                  <c:pt idx="16">
                    <c:v>5.6568542494923801E-3</c:v>
                  </c:pt>
                  <c:pt idx="17">
                    <c:v>5.6568542494923801E-3</c:v>
                  </c:pt>
                  <c:pt idx="18">
                    <c:v>5.6568542494923801E-3</c:v>
                  </c:pt>
                  <c:pt idx="19">
                    <c:v>5.6568542494923801E-3</c:v>
                  </c:pt>
                  <c:pt idx="20">
                    <c:v>5.6568542494923801E-3</c:v>
                  </c:pt>
                  <c:pt idx="21">
                    <c:v>5.6568542494923801E-3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(galaxies!$AK$2:$AK$3,galaxies!$AK$5:$AK$9,galaxies!$AK$11:$AK$14,galaxies!$AK$16:$AK$21,galaxies!$AK$23:$AK$27)</c:f>
              <c:numCache>
                <c:formatCode>0.00E+00</c:formatCode>
                <c:ptCount val="22"/>
                <c:pt idx="0">
                  <c:v>2.5300767738294252</c:v>
                </c:pt>
                <c:pt idx="1">
                  <c:v>2.036065327392004</c:v>
                </c:pt>
                <c:pt idx="2">
                  <c:v>2.7003913582861827</c:v>
                </c:pt>
                <c:pt idx="3">
                  <c:v>2.0824266941651879</c:v>
                </c:pt>
                <c:pt idx="4">
                  <c:v>1.7565183775185749</c:v>
                </c:pt>
                <c:pt idx="5">
                  <c:v>2.5019998717791783</c:v>
                </c:pt>
                <c:pt idx="6">
                  <c:v>1.5713167965971706</c:v>
                </c:pt>
                <c:pt idx="7">
                  <c:v>-0.35217393513300316</c:v>
                </c:pt>
                <c:pt idx="8">
                  <c:v>1.8330497914798793</c:v>
                </c:pt>
                <c:pt idx="9">
                  <c:v>0.39624929380849672</c:v>
                </c:pt>
                <c:pt idx="10">
                  <c:v>2.2604097633613156</c:v>
                </c:pt>
                <c:pt idx="11">
                  <c:v>3.1207333354954758</c:v>
                </c:pt>
                <c:pt idx="12">
                  <c:v>2.0240871906678573</c:v>
                </c:pt>
                <c:pt idx="13">
                  <c:v>1.2878933981775114</c:v>
                </c:pt>
                <c:pt idx="14">
                  <c:v>3.3621161706192799</c:v>
                </c:pt>
                <c:pt idx="15">
                  <c:v>0.65159132732124092</c:v>
                </c:pt>
                <c:pt idx="16">
                  <c:v>2.3326125331603174</c:v>
                </c:pt>
                <c:pt idx="17">
                  <c:v>2.4621248528886697</c:v>
                </c:pt>
                <c:pt idx="18">
                  <c:v>2.8263021759071614</c:v>
                </c:pt>
                <c:pt idx="19">
                  <c:v>0.74797950736255947</c:v>
                </c:pt>
                <c:pt idx="20">
                  <c:v>2.0534049469904092</c:v>
                </c:pt>
                <c:pt idx="21">
                  <c:v>2.1955355159272059</c:v>
                </c:pt>
              </c:numCache>
            </c:numRef>
          </c:xVal>
          <c:yVal>
            <c:numRef>
              <c:f>(galaxies!$AQ$2:$AQ$3,galaxies!$AQ$5:$AQ$9,galaxies!$AQ$11:$AQ$14,galaxies!$AQ$16:$AQ$21,galaxies!$AQ$23:$AQ$27)</c:f>
              <c:numCache>
                <c:formatCode>0.00E+00</c:formatCode>
                <c:ptCount val="22"/>
                <c:pt idx="0">
                  <c:v>-5.9999999999995168E-2</c:v>
                </c:pt>
                <c:pt idx="1">
                  <c:v>7.9999999999998295E-2</c:v>
                </c:pt>
                <c:pt idx="2">
                  <c:v>-9.0000000000003411E-2</c:v>
                </c:pt>
                <c:pt idx="3">
                  <c:v>-2.9999999999994031E-2</c:v>
                </c:pt>
                <c:pt idx="4">
                  <c:v>0.16000000000000369</c:v>
                </c:pt>
                <c:pt idx="5">
                  <c:v>-4.9999999999997158E-2</c:v>
                </c:pt>
                <c:pt idx="6">
                  <c:v>-0.10000000000000142</c:v>
                </c:pt>
                <c:pt idx="7">
                  <c:v>0.14999999999999858</c:v>
                </c:pt>
                <c:pt idx="8">
                  <c:v>2.0000000000003126E-2</c:v>
                </c:pt>
                <c:pt idx="9">
                  <c:v>0.47999999999999687</c:v>
                </c:pt>
                <c:pt idx="10">
                  <c:v>-9.9999999999994316E-2</c:v>
                </c:pt>
                <c:pt idx="11">
                  <c:v>-2.0000000000003126E-2</c:v>
                </c:pt>
                <c:pt idx="12">
                  <c:v>0.12999999999999545</c:v>
                </c:pt>
                <c:pt idx="13">
                  <c:v>-6.0000000000002274E-2</c:v>
                </c:pt>
                <c:pt idx="14">
                  <c:v>-0.10000000000000142</c:v>
                </c:pt>
                <c:pt idx="15">
                  <c:v>0.34000000000000341</c:v>
                </c:pt>
                <c:pt idx="16">
                  <c:v>-6.0000000000002274E-2</c:v>
                </c:pt>
                <c:pt idx="17">
                  <c:v>-3.9999999999999147E-2</c:v>
                </c:pt>
                <c:pt idx="18">
                  <c:v>3.0000000000001137E-2</c:v>
                </c:pt>
                <c:pt idx="19">
                  <c:v>0.10999999999999943</c:v>
                </c:pt>
                <c:pt idx="20">
                  <c:v>0.10000000000000142</c:v>
                </c:pt>
                <c:pt idx="21">
                  <c:v>-0.10999999999999943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E8-48DF-91AC-C7519F2DFAF3}"/>
            </c:ext>
          </c:extLst>
        </c:ser>
        <c:ser>
          <c:idx val="1"/>
          <c:order val="1"/>
          <c:tx>
            <c:v>Series2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rgbClr val="FF0000">
                    <a:alpha val="40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419209029771333"/>
                  <c:y val="-0.199240357775513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(galaxies!$AN$2:$AN$11,galaxies!$AN$13:$AN$22,galaxies!$AN$24:$AN$27)</c:f>
                <c:numCache>
                  <c:formatCode>General</c:formatCode>
                  <c:ptCount val="24"/>
                  <c:pt idx="0">
                    <c:v>8.6360860530139145E-4</c:v>
                  </c:pt>
                  <c:pt idx="1">
                    <c:v>2.8269424099557692E-3</c:v>
                  </c:pt>
                  <c:pt idx="2">
                    <c:v>3.438087784110885E-3</c:v>
                  </c:pt>
                  <c:pt idx="3">
                    <c:v>2.3513482799659298E-3</c:v>
                  </c:pt>
                  <c:pt idx="4">
                    <c:v>1.2983056664628102E-2</c:v>
                  </c:pt>
                  <c:pt idx="5">
                    <c:v>9.3608861052489893E-4</c:v>
                  </c:pt>
                  <c:pt idx="6">
                    <c:v>2.8336548922641368E-3</c:v>
                  </c:pt>
                  <c:pt idx="7">
                    <c:v>9.1695274915466127E-3</c:v>
                  </c:pt>
                  <c:pt idx="8">
                    <c:v>1.804334118123781E-3</c:v>
                  </c:pt>
                  <c:pt idx="9">
                    <c:v>1.003037015425138E-3</c:v>
                  </c:pt>
                  <c:pt idx="10">
                    <c:v>7.8045336217103336E-4</c:v>
                  </c:pt>
                  <c:pt idx="11">
                    <c:v>2.8596768607353192E-3</c:v>
                  </c:pt>
                  <c:pt idx="12">
                    <c:v>1.5007797501696949E-3</c:v>
                  </c:pt>
                  <c:pt idx="13">
                    <c:v>1.2743448424473818E-2</c:v>
                  </c:pt>
                  <c:pt idx="14">
                    <c:v>1.7632624592430887E-3</c:v>
                  </c:pt>
                  <c:pt idx="15">
                    <c:v>2.2198159176237114E-3</c:v>
                  </c:pt>
                  <c:pt idx="16">
                    <c:v>4.4291150465442927E-3</c:v>
                  </c:pt>
                  <c:pt idx="17">
                    <c:v>1.4666178325004847E-3</c:v>
                  </c:pt>
                  <c:pt idx="18">
                    <c:v>8.247398150848578E-4</c:v>
                  </c:pt>
                  <c:pt idx="19">
                    <c:v>2.8596768607399539E-3</c:v>
                  </c:pt>
                  <c:pt idx="20">
                    <c:v>1.8252273223105585E-3</c:v>
                  </c:pt>
                  <c:pt idx="21">
                    <c:v>2.1692867377187583E-3</c:v>
                  </c:pt>
                  <c:pt idx="22">
                    <c:v>2.0716527520225495E-3</c:v>
                  </c:pt>
                  <c:pt idx="23">
                    <c:v>7.8762040917921476E-4</c:v>
                  </c:pt>
                </c:numCache>
              </c:numRef>
            </c:plus>
            <c:minus>
              <c:numRef>
                <c:f>(galaxies!$AN$2:$AN$11,galaxies!$AN$13:$AN$22,galaxies!$AN$24:$AN$27)</c:f>
                <c:numCache>
                  <c:formatCode>General</c:formatCode>
                  <c:ptCount val="24"/>
                  <c:pt idx="0">
                    <c:v>8.6360860530139145E-4</c:v>
                  </c:pt>
                  <c:pt idx="1">
                    <c:v>2.8269424099557692E-3</c:v>
                  </c:pt>
                  <c:pt idx="2">
                    <c:v>3.438087784110885E-3</c:v>
                  </c:pt>
                  <c:pt idx="3">
                    <c:v>2.3513482799659298E-3</c:v>
                  </c:pt>
                  <c:pt idx="4">
                    <c:v>1.2983056664628102E-2</c:v>
                  </c:pt>
                  <c:pt idx="5">
                    <c:v>9.3608861052489893E-4</c:v>
                  </c:pt>
                  <c:pt idx="6">
                    <c:v>2.8336548922641368E-3</c:v>
                  </c:pt>
                  <c:pt idx="7">
                    <c:v>9.1695274915466127E-3</c:v>
                  </c:pt>
                  <c:pt idx="8">
                    <c:v>1.804334118123781E-3</c:v>
                  </c:pt>
                  <c:pt idx="9">
                    <c:v>1.003037015425138E-3</c:v>
                  </c:pt>
                  <c:pt idx="10">
                    <c:v>7.8045336217103336E-4</c:v>
                  </c:pt>
                  <c:pt idx="11">
                    <c:v>2.8596768607353192E-3</c:v>
                  </c:pt>
                  <c:pt idx="12">
                    <c:v>1.5007797501696949E-3</c:v>
                  </c:pt>
                  <c:pt idx="13">
                    <c:v>1.2743448424473818E-2</c:v>
                  </c:pt>
                  <c:pt idx="14">
                    <c:v>1.7632624592430887E-3</c:v>
                  </c:pt>
                  <c:pt idx="15">
                    <c:v>2.2198159176237114E-3</c:v>
                  </c:pt>
                  <c:pt idx="16">
                    <c:v>4.4291150465442927E-3</c:v>
                  </c:pt>
                  <c:pt idx="17">
                    <c:v>1.4666178325004847E-3</c:v>
                  </c:pt>
                  <c:pt idx="18">
                    <c:v>8.247398150848578E-4</c:v>
                  </c:pt>
                  <c:pt idx="19">
                    <c:v>2.8596768607399539E-3</c:v>
                  </c:pt>
                  <c:pt idx="20">
                    <c:v>1.8252273223105585E-3</c:v>
                  </c:pt>
                  <c:pt idx="21">
                    <c:v>2.1692867377187583E-3</c:v>
                  </c:pt>
                  <c:pt idx="22">
                    <c:v>2.0716527520225495E-3</c:v>
                  </c:pt>
                  <c:pt idx="23">
                    <c:v>7.8762040917921476E-4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(galaxies!$AR$2:$AR$11,galaxies!$AR$13:$AR$22,galaxies!$AR$24:$AR$27)</c:f>
                <c:numCache>
                  <c:formatCode>General</c:formatCode>
                  <c:ptCount val="24"/>
                  <c:pt idx="0">
                    <c:v>5.6568542494923801E-3</c:v>
                  </c:pt>
                  <c:pt idx="1">
                    <c:v>5.6568542494923801E-3</c:v>
                  </c:pt>
                  <c:pt idx="2">
                    <c:v>5.6568542494923801E-3</c:v>
                  </c:pt>
                  <c:pt idx="3">
                    <c:v>5.6568542494923801E-3</c:v>
                  </c:pt>
                  <c:pt idx="4">
                    <c:v>0.02</c:v>
                  </c:pt>
                  <c:pt idx="5">
                    <c:v>5.6568542494923801E-3</c:v>
                  </c:pt>
                  <c:pt idx="6">
                    <c:v>1.131370849898476E-2</c:v>
                  </c:pt>
                  <c:pt idx="7">
                    <c:v>8.9442719099991578E-3</c:v>
                  </c:pt>
                  <c:pt idx="8">
                    <c:v>5.6568542494923801E-3</c:v>
                  </c:pt>
                  <c:pt idx="9">
                    <c:v>5.6568542494923801E-3</c:v>
                  </c:pt>
                  <c:pt idx="10">
                    <c:v>8.9442719099991578E-3</c:v>
                  </c:pt>
                  <c:pt idx="11">
                    <c:v>5.6568542494923801E-3</c:v>
                  </c:pt>
                  <c:pt idx="12">
                    <c:v>5.6568542494923801E-3</c:v>
                  </c:pt>
                  <c:pt idx="13">
                    <c:v>2.5612496949731396E-2</c:v>
                  </c:pt>
                  <c:pt idx="14">
                    <c:v>5.6568542494923801E-3</c:v>
                  </c:pt>
                  <c:pt idx="15">
                    <c:v>5.6568542494923801E-3</c:v>
                  </c:pt>
                  <c:pt idx="16">
                    <c:v>5.6568542494923801E-3</c:v>
                  </c:pt>
                  <c:pt idx="17">
                    <c:v>5.6568542494923801E-3</c:v>
                  </c:pt>
                  <c:pt idx="18">
                    <c:v>5.6568542494923801E-3</c:v>
                  </c:pt>
                  <c:pt idx="19">
                    <c:v>5.6568542494923801E-3</c:v>
                  </c:pt>
                  <c:pt idx="20">
                    <c:v>5.6568542494923801E-3</c:v>
                  </c:pt>
                  <c:pt idx="21">
                    <c:v>5.6568542494923801E-3</c:v>
                  </c:pt>
                  <c:pt idx="22">
                    <c:v>5.6568542494923801E-3</c:v>
                  </c:pt>
                  <c:pt idx="23">
                    <c:v>5.6568542494923801E-3</c:v>
                  </c:pt>
                </c:numCache>
              </c:numRef>
            </c:plus>
            <c:minus>
              <c:numRef>
                <c:f>(galaxies!$AR$2:$AR$11,galaxies!$AR$13:$AR$22,galaxies!$AR$24:$AR$27)</c:f>
                <c:numCache>
                  <c:formatCode>General</c:formatCode>
                  <c:ptCount val="24"/>
                  <c:pt idx="0">
                    <c:v>5.6568542494923801E-3</c:v>
                  </c:pt>
                  <c:pt idx="1">
                    <c:v>5.6568542494923801E-3</c:v>
                  </c:pt>
                  <c:pt idx="2">
                    <c:v>5.6568542494923801E-3</c:v>
                  </c:pt>
                  <c:pt idx="3">
                    <c:v>5.6568542494923801E-3</c:v>
                  </c:pt>
                  <c:pt idx="4">
                    <c:v>0.02</c:v>
                  </c:pt>
                  <c:pt idx="5">
                    <c:v>5.6568542494923801E-3</c:v>
                  </c:pt>
                  <c:pt idx="6">
                    <c:v>1.131370849898476E-2</c:v>
                  </c:pt>
                  <c:pt idx="7">
                    <c:v>8.9442719099991578E-3</c:v>
                  </c:pt>
                  <c:pt idx="8">
                    <c:v>5.6568542494923801E-3</c:v>
                  </c:pt>
                  <c:pt idx="9">
                    <c:v>5.6568542494923801E-3</c:v>
                  </c:pt>
                  <c:pt idx="10">
                    <c:v>8.9442719099991578E-3</c:v>
                  </c:pt>
                  <c:pt idx="11">
                    <c:v>5.6568542494923801E-3</c:v>
                  </c:pt>
                  <c:pt idx="12">
                    <c:v>5.6568542494923801E-3</c:v>
                  </c:pt>
                  <c:pt idx="13">
                    <c:v>2.5612496949731396E-2</c:v>
                  </c:pt>
                  <c:pt idx="14">
                    <c:v>5.6568542494923801E-3</c:v>
                  </c:pt>
                  <c:pt idx="15">
                    <c:v>5.6568542494923801E-3</c:v>
                  </c:pt>
                  <c:pt idx="16">
                    <c:v>5.6568542494923801E-3</c:v>
                  </c:pt>
                  <c:pt idx="17">
                    <c:v>5.6568542494923801E-3</c:v>
                  </c:pt>
                  <c:pt idx="18">
                    <c:v>5.6568542494923801E-3</c:v>
                  </c:pt>
                  <c:pt idx="19">
                    <c:v>5.6568542494923801E-3</c:v>
                  </c:pt>
                  <c:pt idx="20">
                    <c:v>5.6568542494923801E-3</c:v>
                  </c:pt>
                  <c:pt idx="21">
                    <c:v>5.6568542494923801E-3</c:v>
                  </c:pt>
                  <c:pt idx="22">
                    <c:v>5.6568542494923801E-3</c:v>
                  </c:pt>
                  <c:pt idx="23">
                    <c:v>5.6568542494923801E-3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(galaxies!$AM$2:$AM$11,galaxies!$AM$13:$AM$22,galaxies!$AM$24:$AM$27)</c:f>
              <c:numCache>
                <c:formatCode>0.00E+00</c:formatCode>
                <c:ptCount val="24"/>
                <c:pt idx="0">
                  <c:v>0.93442714953981099</c:v>
                </c:pt>
                <c:pt idx="1">
                  <c:v>0.19761264196722378</c:v>
                </c:pt>
                <c:pt idx="2">
                  <c:v>1.2817646995535676</c:v>
                </c:pt>
                <c:pt idx="3">
                  <c:v>1.1048246774110915</c:v>
                </c:pt>
                <c:pt idx="4">
                  <c:v>-0.10982085565570479</c:v>
                </c:pt>
                <c:pt idx="5">
                  <c:v>0.98003428650239421</c:v>
                </c:pt>
                <c:pt idx="6">
                  <c:v>0.29427576485442797</c:v>
                </c:pt>
                <c:pt idx="7">
                  <c:v>0.75498670501168141</c:v>
                </c:pt>
                <c:pt idx="8">
                  <c:v>2.3264367106089794</c:v>
                </c:pt>
                <c:pt idx="9">
                  <c:v>-1.1133980826376484</c:v>
                </c:pt>
                <c:pt idx="10">
                  <c:v>-0.51242057056428358</c:v>
                </c:pt>
                <c:pt idx="11">
                  <c:v>1.5997763256428066</c:v>
                </c:pt>
                <c:pt idx="12">
                  <c:v>0.94413430550575705</c:v>
                </c:pt>
                <c:pt idx="13">
                  <c:v>1.4465195144836549</c:v>
                </c:pt>
                <c:pt idx="14">
                  <c:v>1.3040214751260493</c:v>
                </c:pt>
                <c:pt idx="15">
                  <c:v>0.10430488419895838</c:v>
                </c:pt>
                <c:pt idx="16">
                  <c:v>1.7619003199896879</c:v>
                </c:pt>
                <c:pt idx="17">
                  <c:v>3.3970121931766566E-2</c:v>
                </c:pt>
                <c:pt idx="18">
                  <c:v>0.45416516847090449</c:v>
                </c:pt>
                <c:pt idx="19">
                  <c:v>1.505231477184835</c:v>
                </c:pt>
                <c:pt idx="20">
                  <c:v>1.2731386267223559</c:v>
                </c:pt>
                <c:pt idx="21">
                  <c:v>-0.32792488172488732</c:v>
                </c:pt>
                <c:pt idx="22">
                  <c:v>0.6864721393184916</c:v>
                </c:pt>
                <c:pt idx="23">
                  <c:v>0.83746701929286083</c:v>
                </c:pt>
              </c:numCache>
            </c:numRef>
          </c:xVal>
          <c:yVal>
            <c:numRef>
              <c:f>(galaxies!$AQ$2:$AQ$11,galaxies!$AQ$13:$AQ$22,galaxies!$AQ$24:$AQ$27)</c:f>
              <c:numCache>
                <c:formatCode>0.00E+00</c:formatCode>
                <c:ptCount val="24"/>
                <c:pt idx="0">
                  <c:v>-5.9999999999995168E-2</c:v>
                </c:pt>
                <c:pt idx="1">
                  <c:v>7.9999999999998295E-2</c:v>
                </c:pt>
                <c:pt idx="2">
                  <c:v>-9.0000000000003411E-2</c:v>
                </c:pt>
                <c:pt idx="3">
                  <c:v>-9.0000000000003411E-2</c:v>
                </c:pt>
                <c:pt idx="4">
                  <c:v>-2.9999999999994031E-2</c:v>
                </c:pt>
                <c:pt idx="5">
                  <c:v>0.16000000000000369</c:v>
                </c:pt>
                <c:pt idx="6">
                  <c:v>-4.9999999999997158E-2</c:v>
                </c:pt>
                <c:pt idx="7">
                  <c:v>-0.10000000000000142</c:v>
                </c:pt>
                <c:pt idx="8">
                  <c:v>-0.10000000000000142</c:v>
                </c:pt>
                <c:pt idx="9">
                  <c:v>0.14999999999999858</c:v>
                </c:pt>
                <c:pt idx="10">
                  <c:v>0.47999999999999687</c:v>
                </c:pt>
                <c:pt idx="11">
                  <c:v>-9.9999999999994316E-2</c:v>
                </c:pt>
                <c:pt idx="12">
                  <c:v>0.12999999999999545</c:v>
                </c:pt>
                <c:pt idx="13">
                  <c:v>-2.0000000000003126E-2</c:v>
                </c:pt>
                <c:pt idx="14">
                  <c:v>0.12999999999999545</c:v>
                </c:pt>
                <c:pt idx="15">
                  <c:v>-6.0000000000002274E-2</c:v>
                </c:pt>
                <c:pt idx="16">
                  <c:v>-0.10000000000000142</c:v>
                </c:pt>
                <c:pt idx="17">
                  <c:v>0.34000000000000341</c:v>
                </c:pt>
                <c:pt idx="18">
                  <c:v>-6.0000000000002274E-2</c:v>
                </c:pt>
                <c:pt idx="19">
                  <c:v>-5.9999999999995168E-2</c:v>
                </c:pt>
                <c:pt idx="20">
                  <c:v>3.0000000000001137E-2</c:v>
                </c:pt>
                <c:pt idx="21">
                  <c:v>0.10999999999999943</c:v>
                </c:pt>
                <c:pt idx="22">
                  <c:v>0.10000000000000142</c:v>
                </c:pt>
                <c:pt idx="23">
                  <c:v>-0.10999999999999943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EA-4173-908A-56BC5A50268E}"/>
            </c:ext>
          </c:extLst>
        </c:ser>
        <c:ser>
          <c:idx val="2"/>
          <c:order val="2"/>
          <c:tx>
            <c:v>Series3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rgbClr val="00B0F0">
                    <a:alpha val="40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802636082371748"/>
                  <c:y val="-0.17008684943774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(galaxies!$AP$2:$AP$12,galaxies!$AP$14:$AP$27)</c:f>
                <c:numCache>
                  <c:formatCode>General</c:formatCode>
                  <c:ptCount val="25"/>
                  <c:pt idx="0">
                    <c:v>8.6360860308762083E-4</c:v>
                  </c:pt>
                  <c:pt idx="1">
                    <c:v>2.8269424082737892E-3</c:v>
                  </c:pt>
                  <c:pt idx="2">
                    <c:v>3.438087783602219E-3</c:v>
                  </c:pt>
                  <c:pt idx="3">
                    <c:v>2.3513482799511539E-3</c:v>
                  </c:pt>
                  <c:pt idx="4">
                    <c:v>1.2983056664318088E-2</c:v>
                  </c:pt>
                  <c:pt idx="5">
                    <c:v>9.3608860756471692E-4</c:v>
                  </c:pt>
                  <c:pt idx="6">
                    <c:v>2.8336548918489806E-3</c:v>
                  </c:pt>
                  <c:pt idx="7">
                    <c:v>9.1695274909177008E-3</c:v>
                  </c:pt>
                  <c:pt idx="8">
                    <c:v>1.8043341180596639E-3</c:v>
                  </c:pt>
                  <c:pt idx="9">
                    <c:v>1.0030370153472469E-3</c:v>
                  </c:pt>
                  <c:pt idx="10">
                    <c:v>1.8043341169878631E-3</c:v>
                  </c:pt>
                  <c:pt idx="11">
                    <c:v>2.8596768607102559E-3</c:v>
                  </c:pt>
                  <c:pt idx="12">
                    <c:v>1.500779743987581E-3</c:v>
                  </c:pt>
                  <c:pt idx="13">
                    <c:v>1.2743448424466616E-2</c:v>
                  </c:pt>
                  <c:pt idx="14">
                    <c:v>1.7632624591813327E-3</c:v>
                  </c:pt>
                  <c:pt idx="15">
                    <c:v>2.2198159176022411E-3</c:v>
                  </c:pt>
                  <c:pt idx="16">
                    <c:v>4.4291150445797478E-3</c:v>
                  </c:pt>
                  <c:pt idx="17">
                    <c:v>1.4666178324121331E-3</c:v>
                  </c:pt>
                  <c:pt idx="18">
                    <c:v>8.247398140531335E-4</c:v>
                  </c:pt>
                  <c:pt idx="19">
                    <c:v>2.8596768607091943E-3</c:v>
                  </c:pt>
                  <c:pt idx="20">
                    <c:v>1.5007797499765922E-3</c:v>
                  </c:pt>
                  <c:pt idx="21">
                    <c:v>1.8252273169580896E-3</c:v>
                  </c:pt>
                  <c:pt idx="22">
                    <c:v>2.1692867358972016E-3</c:v>
                  </c:pt>
                  <c:pt idx="23">
                    <c:v>2.0716527519393157E-3</c:v>
                  </c:pt>
                  <c:pt idx="24">
                    <c:v>7.876204089035904E-4</c:v>
                  </c:pt>
                </c:numCache>
              </c:numRef>
            </c:plus>
            <c:minus>
              <c:numRef>
                <c:f>(galaxies!$AP$2:$AP$12,galaxies!$AP$14:$AP$27)</c:f>
                <c:numCache>
                  <c:formatCode>General</c:formatCode>
                  <c:ptCount val="25"/>
                  <c:pt idx="0">
                    <c:v>8.6360860308762083E-4</c:v>
                  </c:pt>
                  <c:pt idx="1">
                    <c:v>2.8269424082737892E-3</c:v>
                  </c:pt>
                  <c:pt idx="2">
                    <c:v>3.438087783602219E-3</c:v>
                  </c:pt>
                  <c:pt idx="3">
                    <c:v>2.3513482799511539E-3</c:v>
                  </c:pt>
                  <c:pt idx="4">
                    <c:v>1.2983056664318088E-2</c:v>
                  </c:pt>
                  <c:pt idx="5">
                    <c:v>9.3608860756471692E-4</c:v>
                  </c:pt>
                  <c:pt idx="6">
                    <c:v>2.8336548918489806E-3</c:v>
                  </c:pt>
                  <c:pt idx="7">
                    <c:v>9.1695274909177008E-3</c:v>
                  </c:pt>
                  <c:pt idx="8">
                    <c:v>1.8043341180596639E-3</c:v>
                  </c:pt>
                  <c:pt idx="9">
                    <c:v>1.0030370153472469E-3</c:v>
                  </c:pt>
                  <c:pt idx="10">
                    <c:v>1.8043341169878631E-3</c:v>
                  </c:pt>
                  <c:pt idx="11">
                    <c:v>2.8596768607102559E-3</c:v>
                  </c:pt>
                  <c:pt idx="12">
                    <c:v>1.500779743987581E-3</c:v>
                  </c:pt>
                  <c:pt idx="13">
                    <c:v>1.2743448424466616E-2</c:v>
                  </c:pt>
                  <c:pt idx="14">
                    <c:v>1.7632624591813327E-3</c:v>
                  </c:pt>
                  <c:pt idx="15">
                    <c:v>2.2198159176022411E-3</c:v>
                  </c:pt>
                  <c:pt idx="16">
                    <c:v>4.4291150445797478E-3</c:v>
                  </c:pt>
                  <c:pt idx="17">
                    <c:v>1.4666178324121331E-3</c:v>
                  </c:pt>
                  <c:pt idx="18">
                    <c:v>8.247398140531335E-4</c:v>
                  </c:pt>
                  <c:pt idx="19">
                    <c:v>2.8596768607091943E-3</c:v>
                  </c:pt>
                  <c:pt idx="20">
                    <c:v>1.5007797499765922E-3</c:v>
                  </c:pt>
                  <c:pt idx="21">
                    <c:v>1.8252273169580896E-3</c:v>
                  </c:pt>
                  <c:pt idx="22">
                    <c:v>2.1692867358972016E-3</c:v>
                  </c:pt>
                  <c:pt idx="23">
                    <c:v>2.0716527519393157E-3</c:v>
                  </c:pt>
                  <c:pt idx="24">
                    <c:v>7.876204089035904E-4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(galaxies!$AR$2:$AR$12,galaxies!$AR$14:$AR$27)</c:f>
                <c:numCache>
                  <c:formatCode>General</c:formatCode>
                  <c:ptCount val="25"/>
                  <c:pt idx="0">
                    <c:v>5.6568542494923801E-3</c:v>
                  </c:pt>
                  <c:pt idx="1">
                    <c:v>5.6568542494923801E-3</c:v>
                  </c:pt>
                  <c:pt idx="2">
                    <c:v>5.6568542494923801E-3</c:v>
                  </c:pt>
                  <c:pt idx="3">
                    <c:v>5.6568542494923801E-3</c:v>
                  </c:pt>
                  <c:pt idx="4">
                    <c:v>0.02</c:v>
                  </c:pt>
                  <c:pt idx="5">
                    <c:v>5.6568542494923801E-3</c:v>
                  </c:pt>
                  <c:pt idx="6">
                    <c:v>1.131370849898476E-2</c:v>
                  </c:pt>
                  <c:pt idx="7">
                    <c:v>8.9442719099991578E-3</c:v>
                  </c:pt>
                  <c:pt idx="8">
                    <c:v>5.6568542494923801E-3</c:v>
                  </c:pt>
                  <c:pt idx="9">
                    <c:v>5.6568542494923801E-3</c:v>
                  </c:pt>
                  <c:pt idx="10">
                    <c:v>5.6568542494923801E-3</c:v>
                  </c:pt>
                  <c:pt idx="11">
                    <c:v>5.6568542494923801E-3</c:v>
                  </c:pt>
                  <c:pt idx="12">
                    <c:v>5.6568542494923801E-3</c:v>
                  </c:pt>
                  <c:pt idx="13">
                    <c:v>2.5612496949731396E-2</c:v>
                  </c:pt>
                  <c:pt idx="14">
                    <c:v>5.6568542494923801E-3</c:v>
                  </c:pt>
                  <c:pt idx="15">
                    <c:v>5.6568542494923801E-3</c:v>
                  </c:pt>
                  <c:pt idx="16">
                    <c:v>5.6568542494923801E-3</c:v>
                  </c:pt>
                  <c:pt idx="17">
                    <c:v>5.6568542494923801E-3</c:v>
                  </c:pt>
                  <c:pt idx="18">
                    <c:v>5.6568542494923801E-3</c:v>
                  </c:pt>
                  <c:pt idx="19">
                    <c:v>5.6568542494923801E-3</c:v>
                  </c:pt>
                  <c:pt idx="20">
                    <c:v>5.6568542494923801E-3</c:v>
                  </c:pt>
                  <c:pt idx="21">
                    <c:v>5.6568542494923801E-3</c:v>
                  </c:pt>
                  <c:pt idx="22">
                    <c:v>5.6568542494923801E-3</c:v>
                  </c:pt>
                  <c:pt idx="23">
                    <c:v>5.6568542494923801E-3</c:v>
                  </c:pt>
                  <c:pt idx="24">
                    <c:v>5.6568542494923801E-3</c:v>
                  </c:pt>
                </c:numCache>
              </c:numRef>
            </c:plus>
            <c:minus>
              <c:numRef>
                <c:f>(galaxies!$AR$2:$AR$12,galaxies!$AR$14:$AR$27)</c:f>
                <c:numCache>
                  <c:formatCode>General</c:formatCode>
                  <c:ptCount val="25"/>
                  <c:pt idx="0">
                    <c:v>5.6568542494923801E-3</c:v>
                  </c:pt>
                  <c:pt idx="1">
                    <c:v>5.6568542494923801E-3</c:v>
                  </c:pt>
                  <c:pt idx="2">
                    <c:v>5.6568542494923801E-3</c:v>
                  </c:pt>
                  <c:pt idx="3">
                    <c:v>5.6568542494923801E-3</c:v>
                  </c:pt>
                  <c:pt idx="4">
                    <c:v>0.02</c:v>
                  </c:pt>
                  <c:pt idx="5">
                    <c:v>5.6568542494923801E-3</c:v>
                  </c:pt>
                  <c:pt idx="6">
                    <c:v>1.131370849898476E-2</c:v>
                  </c:pt>
                  <c:pt idx="7">
                    <c:v>8.9442719099991578E-3</c:v>
                  </c:pt>
                  <c:pt idx="8">
                    <c:v>5.6568542494923801E-3</c:v>
                  </c:pt>
                  <c:pt idx="9">
                    <c:v>5.6568542494923801E-3</c:v>
                  </c:pt>
                  <c:pt idx="10">
                    <c:v>5.6568542494923801E-3</c:v>
                  </c:pt>
                  <c:pt idx="11">
                    <c:v>5.6568542494923801E-3</c:v>
                  </c:pt>
                  <c:pt idx="12">
                    <c:v>5.6568542494923801E-3</c:v>
                  </c:pt>
                  <c:pt idx="13">
                    <c:v>2.5612496949731396E-2</c:v>
                  </c:pt>
                  <c:pt idx="14">
                    <c:v>5.6568542494923801E-3</c:v>
                  </c:pt>
                  <c:pt idx="15">
                    <c:v>5.6568542494923801E-3</c:v>
                  </c:pt>
                  <c:pt idx="16">
                    <c:v>5.6568542494923801E-3</c:v>
                  </c:pt>
                  <c:pt idx="17">
                    <c:v>5.6568542494923801E-3</c:v>
                  </c:pt>
                  <c:pt idx="18">
                    <c:v>5.6568542494923801E-3</c:v>
                  </c:pt>
                  <c:pt idx="19">
                    <c:v>5.6568542494923801E-3</c:v>
                  </c:pt>
                  <c:pt idx="20">
                    <c:v>5.6568542494923801E-3</c:v>
                  </c:pt>
                  <c:pt idx="21">
                    <c:v>5.6568542494923801E-3</c:v>
                  </c:pt>
                  <c:pt idx="22">
                    <c:v>5.6568542494923801E-3</c:v>
                  </c:pt>
                  <c:pt idx="23">
                    <c:v>5.6568542494923801E-3</c:v>
                  </c:pt>
                  <c:pt idx="24">
                    <c:v>5.6568542494923801E-3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(galaxies!$AO$2:$AO$12,galaxies!$AO$14:$AO$27)</c:f>
              <c:numCache>
                <c:formatCode>0.00E+00</c:formatCode>
                <c:ptCount val="25"/>
                <c:pt idx="0">
                  <c:v>-7.5547898101570449E-2</c:v>
                </c:pt>
                <c:pt idx="1">
                  <c:v>-0.48058395462286196</c:v>
                </c:pt>
                <c:pt idx="2">
                  <c:v>0.24889458853666621</c:v>
                </c:pt>
                <c:pt idx="3">
                  <c:v>0.43391694717801005</c:v>
                </c:pt>
                <c:pt idx="4">
                  <c:v>-0.33827443752167707</c:v>
                </c:pt>
                <c:pt idx="5">
                  <c:v>5.2584953651005996E-2</c:v>
                </c:pt>
                <c:pt idx="6">
                  <c:v>-5.3900318184070053E-2</c:v>
                </c:pt>
                <c:pt idx="7">
                  <c:v>-4.4576917807699054E-2</c:v>
                </c:pt>
                <c:pt idx="8">
                  <c:v>0.21404395018522029</c:v>
                </c:pt>
                <c:pt idx="9">
                  <c:v>-1.1239703588818013</c:v>
                </c:pt>
                <c:pt idx="10">
                  <c:v>-0.12088912166473112</c:v>
                </c:pt>
                <c:pt idx="11">
                  <c:v>0.52419920386400698</c:v>
                </c:pt>
                <c:pt idx="12">
                  <c:v>-0.54247538879094659</c:v>
                </c:pt>
                <c:pt idx="13">
                  <c:v>0.1055328843822768</c:v>
                </c:pt>
                <c:pt idx="14">
                  <c:v>-0.11865891112421868</c:v>
                </c:pt>
                <c:pt idx="15">
                  <c:v>-0.19299266200485585</c:v>
                </c:pt>
                <c:pt idx="16">
                  <c:v>0.40443404538631506</c:v>
                </c:pt>
                <c:pt idx="17">
                  <c:v>-0.16517610589241116</c:v>
                </c:pt>
                <c:pt idx="18">
                  <c:v>-7.6779771461749746E-2</c:v>
                </c:pt>
                <c:pt idx="19">
                  <c:v>-8.71670636271583E-2</c:v>
                </c:pt>
                <c:pt idx="20">
                  <c:v>-0.24319858006133194</c:v>
                </c:pt>
                <c:pt idx="21">
                  <c:v>-0.12614942591428277</c:v>
                </c:pt>
                <c:pt idx="22">
                  <c:v>-0.89895904089304657</c:v>
                </c:pt>
                <c:pt idx="23">
                  <c:v>-0.20550184276799074</c:v>
                </c:pt>
                <c:pt idx="24">
                  <c:v>-0.11801103715877123</c:v>
                </c:pt>
              </c:numCache>
            </c:numRef>
          </c:xVal>
          <c:yVal>
            <c:numRef>
              <c:f>(galaxies!$AQ$2:$AQ$12,galaxies!$AQ$14:$AQ$27)</c:f>
              <c:numCache>
                <c:formatCode>0.00E+00</c:formatCode>
                <c:ptCount val="25"/>
                <c:pt idx="0">
                  <c:v>-5.9999999999995168E-2</c:v>
                </c:pt>
                <c:pt idx="1">
                  <c:v>7.9999999999998295E-2</c:v>
                </c:pt>
                <c:pt idx="2">
                  <c:v>-9.0000000000003411E-2</c:v>
                </c:pt>
                <c:pt idx="3">
                  <c:v>-9.0000000000003411E-2</c:v>
                </c:pt>
                <c:pt idx="4">
                  <c:v>-2.9999999999994031E-2</c:v>
                </c:pt>
                <c:pt idx="5">
                  <c:v>0.16000000000000369</c:v>
                </c:pt>
                <c:pt idx="6">
                  <c:v>-4.9999999999997158E-2</c:v>
                </c:pt>
                <c:pt idx="7">
                  <c:v>-0.10000000000000142</c:v>
                </c:pt>
                <c:pt idx="8">
                  <c:v>-0.10000000000000142</c:v>
                </c:pt>
                <c:pt idx="9">
                  <c:v>0.14999999999999858</c:v>
                </c:pt>
                <c:pt idx="10">
                  <c:v>2.0000000000003126E-2</c:v>
                </c:pt>
                <c:pt idx="11">
                  <c:v>-9.9999999999994316E-2</c:v>
                </c:pt>
                <c:pt idx="12">
                  <c:v>0.12999999999999545</c:v>
                </c:pt>
                <c:pt idx="13">
                  <c:v>-2.0000000000003126E-2</c:v>
                </c:pt>
                <c:pt idx="14">
                  <c:v>0.12999999999999545</c:v>
                </c:pt>
                <c:pt idx="15">
                  <c:v>-6.0000000000002274E-2</c:v>
                </c:pt>
                <c:pt idx="16">
                  <c:v>-0.10000000000000142</c:v>
                </c:pt>
                <c:pt idx="17">
                  <c:v>0.34000000000000341</c:v>
                </c:pt>
                <c:pt idx="18">
                  <c:v>-6.0000000000002274E-2</c:v>
                </c:pt>
                <c:pt idx="19">
                  <c:v>-5.9999999999995168E-2</c:v>
                </c:pt>
                <c:pt idx="20">
                  <c:v>-3.9999999999999147E-2</c:v>
                </c:pt>
                <c:pt idx="21">
                  <c:v>3.0000000000001137E-2</c:v>
                </c:pt>
                <c:pt idx="22">
                  <c:v>0.10999999999999943</c:v>
                </c:pt>
                <c:pt idx="23">
                  <c:v>0.10000000000000142</c:v>
                </c:pt>
                <c:pt idx="24">
                  <c:v>-0.10999999999999943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EA-4173-908A-56BC5A502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907136"/>
        <c:axId val="1187923936"/>
      </c:scatterChart>
      <c:valAx>
        <c:axId val="11879071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log(SFR_FUV/SFR_H</a:t>
                </a:r>
                <a:r>
                  <a:rPr lang="el-GR"/>
                  <a:t>α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23936"/>
        <c:crosses val="autoZero"/>
        <c:crossBetween val="midCat"/>
      </c:valAx>
      <c:valAx>
        <c:axId val="11879239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UV</a:t>
                </a:r>
                <a:r>
                  <a:rPr lang="en-US" baseline="0"/>
                  <a:t> Color Proxy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0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569860</xdr:colOff>
      <xdr:row>31</xdr:row>
      <xdr:rowOff>121178</xdr:rowOff>
    </xdr:from>
    <xdr:to>
      <xdr:col>16</xdr:col>
      <xdr:colOff>391557</xdr:colOff>
      <xdr:row>62</xdr:row>
      <xdr:rowOff>23751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346173-59D2-DA2F-C8DC-01C6FB5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6609-B7FA-47EB-ACE4-8A9AD43DC63D}">
  <dimension ref="A1:AR27"/>
  <sheetViews>
    <sheetView tabSelected="1" topLeftCell="A35" zoomScale="77" zoomScaleNormal="85" workbookViewId="0">
      <selection activeCell="S53" sqref="S53"/>
    </sheetView>
  </sheetViews>
  <sheetFormatPr defaultRowHeight="14.5" x14ac:dyDescent="0.35"/>
  <cols>
    <col min="20" max="20" width="8.7265625" customWidth="1"/>
    <col min="30" max="30" width="10.08984375" customWidth="1"/>
    <col min="39" max="39" width="9" bestFit="1" customWidth="1"/>
    <col min="40" max="40" width="9" customWidth="1"/>
    <col min="41" max="41" width="9" bestFit="1" customWidth="1"/>
    <col min="42" max="42" width="9" customWidth="1"/>
    <col min="43" max="43" width="8.81640625" bestFit="1" customWidth="1"/>
    <col min="44" max="44" width="11.90625" bestFit="1" customWidth="1"/>
  </cols>
  <sheetData>
    <row r="1" spans="1:44" x14ac:dyDescent="0.35">
      <c r="A1" t="s">
        <v>0</v>
      </c>
      <c r="B1" s="3" t="s">
        <v>44</v>
      </c>
      <c r="C1" s="3" t="s">
        <v>36</v>
      </c>
      <c r="D1" s="2" t="s">
        <v>44</v>
      </c>
      <c r="E1" s="2" t="s">
        <v>36</v>
      </c>
      <c r="F1" s="4" t="s">
        <v>44</v>
      </c>
      <c r="G1" s="4" t="s">
        <v>36</v>
      </c>
      <c r="H1" t="s">
        <v>3</v>
      </c>
      <c r="I1" t="s">
        <v>35</v>
      </c>
      <c r="J1" t="s">
        <v>4</v>
      </c>
      <c r="K1" t="s">
        <v>34</v>
      </c>
      <c r="M1" t="s">
        <v>53</v>
      </c>
      <c r="N1" t="s">
        <v>54</v>
      </c>
      <c r="O1" t="s">
        <v>1</v>
      </c>
      <c r="P1" t="s">
        <v>2</v>
      </c>
      <c r="Q1" t="s">
        <v>32</v>
      </c>
      <c r="R1" t="s">
        <v>33</v>
      </c>
      <c r="S1" t="s">
        <v>5</v>
      </c>
      <c r="U1" s="3" t="s">
        <v>45</v>
      </c>
      <c r="V1" s="3" t="s">
        <v>46</v>
      </c>
      <c r="W1" s="3" t="s">
        <v>47</v>
      </c>
      <c r="X1" s="3" t="s">
        <v>48</v>
      </c>
      <c r="Y1" s="2" t="s">
        <v>45</v>
      </c>
      <c r="Z1" s="2" t="s">
        <v>46</v>
      </c>
      <c r="AA1" s="2" t="s">
        <v>47</v>
      </c>
      <c r="AB1" s="2" t="s">
        <v>48</v>
      </c>
      <c r="AC1" s="4" t="s">
        <v>45</v>
      </c>
      <c r="AD1" s="4" t="s">
        <v>46</v>
      </c>
      <c r="AE1" s="4" t="s">
        <v>47</v>
      </c>
      <c r="AF1" s="4" t="s">
        <v>48</v>
      </c>
      <c r="AG1" t="s">
        <v>6</v>
      </c>
      <c r="AH1" t="s">
        <v>42</v>
      </c>
      <c r="AI1" t="s">
        <v>7</v>
      </c>
      <c r="AJ1" t="s">
        <v>43</v>
      </c>
      <c r="AK1" s="3" t="s">
        <v>50</v>
      </c>
      <c r="AL1" s="3" t="s">
        <v>49</v>
      </c>
      <c r="AM1" s="2" t="s">
        <v>50</v>
      </c>
      <c r="AN1" s="2" t="s">
        <v>49</v>
      </c>
      <c r="AO1" s="4" t="s">
        <v>50</v>
      </c>
      <c r="AP1" s="4" t="s">
        <v>49</v>
      </c>
      <c r="AQ1" t="s">
        <v>51</v>
      </c>
      <c r="AR1" t="s">
        <v>52</v>
      </c>
    </row>
    <row r="2" spans="1:44" x14ac:dyDescent="0.35">
      <c r="A2" t="s">
        <v>8</v>
      </c>
      <c r="B2">
        <v>2.73</v>
      </c>
      <c r="C2">
        <v>0.46</v>
      </c>
      <c r="D2">
        <v>107.6</v>
      </c>
      <c r="E2">
        <v>6.9</v>
      </c>
      <c r="F2">
        <v>1101</v>
      </c>
      <c r="G2">
        <v>96</v>
      </c>
      <c r="H2">
        <v>7.3</v>
      </c>
      <c r="I2">
        <v>2.2999999999999998</v>
      </c>
      <c r="J2" s="1">
        <f t="shared" ref="J2:J27" si="0">H2*(3.086E+22)</f>
        <v>2.2527800000000001E+23</v>
      </c>
      <c r="K2" s="1">
        <f t="shared" ref="K2:K27" si="1">I2*(3.086E+22)</f>
        <v>7.0977999999999995E+22</v>
      </c>
      <c r="M2">
        <v>0.01</v>
      </c>
      <c r="N2">
        <v>0.01</v>
      </c>
      <c r="O2">
        <v>35.15</v>
      </c>
      <c r="P2">
        <v>35.090000000000003</v>
      </c>
      <c r="Q2">
        <f t="shared" ref="Q2:Q27" si="2">M2*0.4</f>
        <v>4.0000000000000001E-3</v>
      </c>
      <c r="R2">
        <f t="shared" ref="R2:R27" si="3">N2*0.4</f>
        <v>4.0000000000000001E-3</v>
      </c>
      <c r="U2" s="1">
        <f t="shared" ref="U2:U27" si="4">B2*(0.000000000000000001)*4*PI()*(10^7)*(J2)^2</f>
        <v>1.7410453146318307E+37</v>
      </c>
      <c r="V2" s="1">
        <f t="shared" ref="V2:V27" si="5">SQRT((((0.00000000000000001)*4*PI()*(J2^2))^2)*(C2^2)+((2*B2*(0.00000000000000001)*4*PI()*J2)^2)*(K2^2))</f>
        <v>1.1356424394801708E+31</v>
      </c>
      <c r="W2" s="1">
        <f>(7.9E-42)*U2</f>
        <v>1.3754257985591463E-4</v>
      </c>
      <c r="X2" s="1">
        <f>(7.9E-42)*(V2)</f>
        <v>8.9715752718933488E-11</v>
      </c>
      <c r="Y2" s="1">
        <f t="shared" ref="Y2:Y27" si="6">D2*(0.000000000000000001)*4*PI()*(10^7)*(J2)^2</f>
        <v>6.8621419726880933E+38</v>
      </c>
      <c r="Z2" s="1">
        <f t="shared" ref="Z2:Z27" si="7">SQRT((((0.00000000000000001)*4*PI()*(J2^2))^2)*(E2^2)+((2*D2*(0.00000000000000001)*4*PI()*J2)^2)*(K2^2))</f>
        <v>4.3464225253884037E+32</v>
      </c>
      <c r="AA2" s="1">
        <f>(7.9E-42)*Y2</f>
        <v>5.4210921584235934E-3</v>
      </c>
      <c r="AB2" s="1">
        <f>(7.9E-42)*(Z2)</f>
        <v>3.4336737950568387E-9</v>
      </c>
      <c r="AC2" s="1">
        <f t="shared" ref="AC2:AC27" si="8">F2*(0.000000000000000001)*4*PI()*(10^7)*(J2)^2</f>
        <v>7.021578356811888E+39</v>
      </c>
      <c r="AD2">
        <f t="shared" ref="AD2:AD27" si="9">SQRT((((0.00000000000000001)*4*PI()*(J2^2))^2)*(G2^2)+((2*F2*(0.00000000000000001)*4*PI()*J2)^2)*(K2^2))</f>
        <v>4.4667135969903546E+33</v>
      </c>
      <c r="AE2" s="1">
        <f>(7.9E-42)*AC2</f>
        <v>5.547046901881391E-2</v>
      </c>
      <c r="AF2" s="1">
        <f>(7.9E-42)*(AD2)</f>
        <v>3.5287037416223797E-8</v>
      </c>
      <c r="AG2" s="1">
        <f t="shared" ref="AG2:AG27" si="10">(10^(O2))*(10^7)</f>
        <v>1.4125375446227616E+42</v>
      </c>
      <c r="AH2" s="1">
        <f>AG2*LN(10)*Q2</f>
        <v>1.3009951574171132E+40</v>
      </c>
      <c r="AI2" s="1">
        <f>(3.3E-44)*(AG2)</f>
        <v>4.6613738972551132E-2</v>
      </c>
      <c r="AJ2" s="1">
        <f>(3.3E-44)*(AH2)</f>
        <v>4.293284019476474E-4</v>
      </c>
      <c r="AK2" s="1">
        <f t="shared" ref="AK2:AK27" si="11">LOG(AI2/W2)</f>
        <v>2.5300767738294252</v>
      </c>
      <c r="AL2" s="1">
        <f>SQRT(((1/AI2/LN(10)^2)*(AJ2^2)+(-1/W2/LN(10)^2)*(X2^2)))</f>
        <v>8.6360860553249522E-4</v>
      </c>
      <c r="AM2" s="1">
        <f>LOG(AI2/AA2)</f>
        <v>0.93442714953981099</v>
      </c>
      <c r="AN2" s="1">
        <f>SQRT(((1/AI2/LN(10)^2)*(AJ2^2)+(-1/AA2/LN(10)^2)*(AB2^2)))</f>
        <v>8.6360860530139145E-4</v>
      </c>
      <c r="AO2" s="1">
        <f>LOG(AI2/AE2)</f>
        <v>-7.5547898101570449E-2</v>
      </c>
      <c r="AP2" s="1">
        <f>SQRT(((1/AI2/LN(10)^2)*(AJ2^2)+(-1/AE2/LN(10)^2)*(AF2^2)))</f>
        <v>8.6360860308762083E-4</v>
      </c>
      <c r="AQ2" s="1">
        <f>-(O2-P2)</f>
        <v>-5.9999999999995168E-2</v>
      </c>
      <c r="AR2" s="1">
        <f>SQRT((Q2^2)+(R2^2))</f>
        <v>5.6568542494923801E-3</v>
      </c>
    </row>
    <row r="3" spans="1:44" x14ac:dyDescent="0.35">
      <c r="A3" t="s">
        <v>37</v>
      </c>
      <c r="B3">
        <v>9.69</v>
      </c>
      <c r="C3">
        <v>0.34</v>
      </c>
      <c r="D3">
        <v>668</v>
      </c>
      <c r="E3">
        <v>11</v>
      </c>
      <c r="F3">
        <v>3184</v>
      </c>
      <c r="G3">
        <v>34</v>
      </c>
      <c r="H3">
        <v>22.4</v>
      </c>
      <c r="I3">
        <v>2.2999999999999998</v>
      </c>
      <c r="J3" s="1">
        <f t="shared" si="0"/>
        <v>6.9126399999999998E+23</v>
      </c>
      <c r="K3" s="1">
        <f t="shared" si="1"/>
        <v>7.0977999999999995E+22</v>
      </c>
      <c r="M3">
        <v>0.01</v>
      </c>
      <c r="N3">
        <v>0.01</v>
      </c>
      <c r="O3">
        <v>36.18</v>
      </c>
      <c r="P3">
        <v>36.26</v>
      </c>
      <c r="Q3">
        <f t="shared" si="2"/>
        <v>4.0000000000000001E-3</v>
      </c>
      <c r="R3">
        <f t="shared" si="3"/>
        <v>4.0000000000000001E-3</v>
      </c>
      <c r="U3" s="1">
        <f t="shared" si="4"/>
        <v>5.8186404424783836E+38</v>
      </c>
      <c r="V3" s="1">
        <f t="shared" si="5"/>
        <v>1.2122157309080558E+32</v>
      </c>
      <c r="W3" s="1">
        <f t="shared" ref="W3:W27" si="12">(7.9E-42)*U3</f>
        <v>4.596725949557923E-3</v>
      </c>
      <c r="X3" s="1">
        <f t="shared" ref="X3:X27" si="13">(7.9E-42)*(V3)</f>
        <v>9.5765042741736402E-10</v>
      </c>
      <c r="Y3" s="1">
        <f t="shared" si="6"/>
        <v>4.0111989840821061E+40</v>
      </c>
      <c r="Z3" s="1">
        <f t="shared" si="7"/>
        <v>8.2637241721922231E+33</v>
      </c>
      <c r="AA3" s="1">
        <f t="shared" ref="AA3:AA27" si="14">(7.9E-42)*Y3</f>
        <v>0.31688471974248639</v>
      </c>
      <c r="AB3" s="1">
        <f t="shared" ref="AB3:AB27" si="15">(7.9E-42)*(Z3)</f>
        <v>6.5283420960318566E-8</v>
      </c>
      <c r="AC3" s="1">
        <f t="shared" si="8"/>
        <v>1.9119247852271596E+41</v>
      </c>
      <c r="AD3">
        <f t="shared" si="9"/>
        <v>3.9315786733517037E+34</v>
      </c>
      <c r="AE3" s="1">
        <f t="shared" ref="AE3:AE27" si="16">(7.9E-42)*AC3</f>
        <v>1.5104205803294559</v>
      </c>
      <c r="AF3" s="1">
        <f t="shared" ref="AF3:AF27" si="17">(7.9E-42)*(AD3)</f>
        <v>3.1059471519478458E-7</v>
      </c>
      <c r="AG3" s="1">
        <f t="shared" si="10"/>
        <v>1.5135612484362227E+43</v>
      </c>
      <c r="AH3" s="1">
        <f t="shared" ref="AH3:AH27" si="18">AG3*LN(10)*Q3</f>
        <v>1.3940414271930817E+41</v>
      </c>
      <c r="AI3" s="1">
        <f>(3.3E-44)*(AG3)</f>
        <v>0.4994752119839535</v>
      </c>
      <c r="AJ3" s="1">
        <f t="shared" ref="AJ3:AJ27" si="19">(3.3E-44)*(AH3)</f>
        <v>4.6003367097371692E-3</v>
      </c>
      <c r="AK3" s="1">
        <f t="shared" si="11"/>
        <v>2.036065327392004</v>
      </c>
      <c r="AL3" s="1">
        <f t="shared" ref="AL3:AL27" si="20">SQRT(((1/AI3/LN(10)^2)*(AJ3^2)+(-1/W3/LN(10)^2)*(X3^2)))</f>
        <v>2.8269424103977824E-3</v>
      </c>
      <c r="AM3" s="1">
        <f>LOG(AI3/AA3)</f>
        <v>0.19761264196722378</v>
      </c>
      <c r="AN3" s="1">
        <f t="shared" ref="AN3:AN27" si="21">SQRT(((1/AI3/LN(10)^2)*(AJ3^2)+(-1/AA3/LN(10)^2)*(AB3^2)))</f>
        <v>2.8269424099557692E-3</v>
      </c>
      <c r="AO3" s="1">
        <f>LOG(AI3/AE3)</f>
        <v>-0.48058395462286196</v>
      </c>
      <c r="AP3" s="1">
        <f t="shared" ref="AP3:AP27" si="22">SQRT(((1/AI3/LN(10)^2)*(AJ3^2)+(-1/AE3/LN(10)^2)*(AF3^2)))</f>
        <v>2.8269424082737892E-3</v>
      </c>
      <c r="AQ3" s="1">
        <f t="shared" ref="AQ3:AQ27" si="23">-(O3-P3)</f>
        <v>7.9999999999998295E-2</v>
      </c>
      <c r="AR3" s="1">
        <f t="shared" ref="AR3:AR27" si="24">SQRT((Q3^2)+(R3^2))</f>
        <v>5.6568542494923801E-3</v>
      </c>
    </row>
    <row r="4" spans="1:44" x14ac:dyDescent="0.35">
      <c r="A4" t="s">
        <v>38</v>
      </c>
      <c r="B4" s="5"/>
      <c r="C4" s="5"/>
      <c r="D4">
        <v>81.400000000000006</v>
      </c>
      <c r="E4">
        <v>8.6</v>
      </c>
      <c r="F4">
        <v>878</v>
      </c>
      <c r="G4">
        <v>75</v>
      </c>
      <c r="H4">
        <v>22.4</v>
      </c>
      <c r="I4">
        <v>2.2999999999999998</v>
      </c>
      <c r="J4" s="1">
        <f t="shared" si="0"/>
        <v>6.9126399999999998E+23</v>
      </c>
      <c r="K4" s="1">
        <f t="shared" si="1"/>
        <v>7.0977999999999995E+22</v>
      </c>
      <c r="M4">
        <v>0.01</v>
      </c>
      <c r="N4">
        <v>0.01</v>
      </c>
      <c r="O4">
        <v>36.35</v>
      </c>
      <c r="P4">
        <v>36.26</v>
      </c>
      <c r="Q4">
        <f t="shared" si="2"/>
        <v>4.0000000000000001E-3</v>
      </c>
      <c r="R4">
        <f t="shared" si="3"/>
        <v>4.0000000000000001E-3</v>
      </c>
      <c r="U4" s="6">
        <f t="shared" si="4"/>
        <v>0</v>
      </c>
      <c r="V4" s="6">
        <f t="shared" si="5"/>
        <v>0</v>
      </c>
      <c r="W4" s="6">
        <f t="shared" si="12"/>
        <v>0</v>
      </c>
      <c r="X4" s="6">
        <f t="shared" si="13"/>
        <v>0</v>
      </c>
      <c r="Y4" s="1">
        <f t="shared" si="6"/>
        <v>4.8878981632377761E+39</v>
      </c>
      <c r="Z4" s="1">
        <f t="shared" si="7"/>
        <v>1.1288157380230779E+33</v>
      </c>
      <c r="AA4" s="1">
        <f t="shared" si="14"/>
        <v>3.8614395489578429E-2</v>
      </c>
      <c r="AB4" s="1">
        <f t="shared" si="15"/>
        <v>8.9176443303823141E-9</v>
      </c>
      <c r="AC4" s="1">
        <f t="shared" si="8"/>
        <v>5.2722046527306722E+40</v>
      </c>
      <c r="AD4">
        <f t="shared" si="9"/>
        <v>1.1726167053957752E+34</v>
      </c>
      <c r="AE4" s="1">
        <f t="shared" si="16"/>
        <v>0.41650416756572312</v>
      </c>
      <c r="AF4" s="1">
        <f t="shared" si="17"/>
        <v>9.2636719726266243E-8</v>
      </c>
      <c r="AG4" s="1">
        <f t="shared" si="10"/>
        <v>2.2387211385683577E+43</v>
      </c>
      <c r="AH4" s="1">
        <f t="shared" si="18"/>
        <v>2.0619383684152634E+41</v>
      </c>
      <c r="AI4" s="1">
        <f>(3.3E-44)*(AG4)</f>
        <v>0.73877797572755799</v>
      </c>
      <c r="AJ4" s="1">
        <f t="shared" si="19"/>
        <v>6.8043966157703695E-3</v>
      </c>
      <c r="AK4" s="6" t="e">
        <f t="shared" si="11"/>
        <v>#DIV/0!</v>
      </c>
      <c r="AL4" s="6" t="e">
        <f t="shared" si="20"/>
        <v>#DIV/0!</v>
      </c>
      <c r="AM4" s="1">
        <f>LOG(AI4/AA4)</f>
        <v>1.2817646995535676</v>
      </c>
      <c r="AN4" s="1">
        <f t="shared" si="21"/>
        <v>3.438087784110885E-3</v>
      </c>
      <c r="AO4" s="1">
        <f>LOG(AI4/AE4)</f>
        <v>0.24889458853666621</v>
      </c>
      <c r="AP4" s="1">
        <f t="shared" si="22"/>
        <v>3.438087783602219E-3</v>
      </c>
      <c r="AQ4" s="1">
        <f t="shared" si="23"/>
        <v>-9.0000000000003411E-2</v>
      </c>
      <c r="AR4" s="1">
        <f t="shared" si="24"/>
        <v>5.6568542494923801E-3</v>
      </c>
    </row>
    <row r="5" spans="1:44" x14ac:dyDescent="0.35">
      <c r="A5" t="s">
        <v>9</v>
      </c>
      <c r="B5">
        <v>8.76</v>
      </c>
      <c r="C5">
        <v>0.36</v>
      </c>
      <c r="D5">
        <v>345.2</v>
      </c>
      <c r="E5">
        <v>8.3000000000000007</v>
      </c>
      <c r="F5">
        <v>1618</v>
      </c>
      <c r="G5">
        <v>71</v>
      </c>
      <c r="H5">
        <v>9.1199999999999992</v>
      </c>
      <c r="I5">
        <v>0.17</v>
      </c>
      <c r="J5" s="1">
        <f t="shared" si="0"/>
        <v>2.8144319999999999E+23</v>
      </c>
      <c r="K5" s="1">
        <f t="shared" si="1"/>
        <v>5.2462000000000003E+21</v>
      </c>
      <c r="M5">
        <v>0.01</v>
      </c>
      <c r="N5">
        <v>0.01</v>
      </c>
      <c r="O5">
        <v>36.020000000000003</v>
      </c>
      <c r="P5">
        <v>35.93</v>
      </c>
      <c r="Q5">
        <f t="shared" si="2"/>
        <v>4.0000000000000001E-3</v>
      </c>
      <c r="R5">
        <f t="shared" si="3"/>
        <v>4.0000000000000001E-3</v>
      </c>
      <c r="U5" s="1">
        <f t="shared" si="4"/>
        <v>8.7195784686023632E+37</v>
      </c>
      <c r="V5" s="1">
        <f t="shared" si="5"/>
        <v>4.8381663167188913E+30</v>
      </c>
      <c r="W5" s="1">
        <f t="shared" si="12"/>
        <v>6.8884669901958669E-4</v>
      </c>
      <c r="X5" s="1">
        <f t="shared" si="13"/>
        <v>3.8221513902079238E-11</v>
      </c>
      <c r="Y5" s="1">
        <f t="shared" si="6"/>
        <v>3.4360713326044923E+39</v>
      </c>
      <c r="Z5" s="1">
        <f t="shared" si="7"/>
        <v>1.5243018997161269E+32</v>
      </c>
      <c r="AA5" s="1">
        <f t="shared" si="14"/>
        <v>2.7144963527575488E-2</v>
      </c>
      <c r="AB5" s="1">
        <f t="shared" si="15"/>
        <v>1.2041985007757401E-9</v>
      </c>
      <c r="AC5" s="1">
        <f t="shared" si="8"/>
        <v>1.6105340139496141E+40</v>
      </c>
      <c r="AD5">
        <f t="shared" si="9"/>
        <v>9.27340713901639E+32</v>
      </c>
      <c r="AE5" s="1">
        <f t="shared" si="16"/>
        <v>0.1272321871020195</v>
      </c>
      <c r="AF5" s="1">
        <f t="shared" si="17"/>
        <v>7.3259916398229475E-9</v>
      </c>
      <c r="AG5" s="1">
        <f t="shared" si="10"/>
        <v>1.0471285480509113E+43</v>
      </c>
      <c r="AH5" s="1">
        <f t="shared" si="18"/>
        <v>9.6444103407621123E+40</v>
      </c>
      <c r="AI5" s="1">
        <f t="shared" ref="AI5:AI27" si="25">(3.3E-44)*(AG5)</f>
        <v>0.34555242085680077</v>
      </c>
      <c r="AJ5" s="1">
        <f t="shared" si="19"/>
        <v>3.1826554124514969E-3</v>
      </c>
      <c r="AK5" s="1">
        <f t="shared" si="11"/>
        <v>2.7003913582861827</v>
      </c>
      <c r="AL5" s="1">
        <f t="shared" si="20"/>
        <v>2.3513482799679872E-3</v>
      </c>
      <c r="AM5" s="1">
        <f t="shared" ref="AM5:AM27" si="26">LOG(AI5/AA5)</f>
        <v>1.1048246774110915</v>
      </c>
      <c r="AN5" s="1">
        <f t="shared" si="21"/>
        <v>2.3513482799659298E-3</v>
      </c>
      <c r="AO5" s="1">
        <f t="shared" ref="AO5:AO27" si="27">LOG(AI5/AE5)</f>
        <v>0.43391694717801005</v>
      </c>
      <c r="AP5" s="1">
        <f t="shared" si="22"/>
        <v>2.3513482799511539E-3</v>
      </c>
      <c r="AQ5" s="1">
        <f t="shared" si="23"/>
        <v>-9.0000000000003411E-2</v>
      </c>
      <c r="AR5" s="1">
        <f t="shared" si="24"/>
        <v>5.6568542494923801E-3</v>
      </c>
    </row>
    <row r="6" spans="1:44" x14ac:dyDescent="0.35">
      <c r="A6" t="s">
        <v>10</v>
      </c>
      <c r="B6">
        <v>19.7</v>
      </c>
      <c r="C6">
        <v>2.1</v>
      </c>
      <c r="D6">
        <v>3067</v>
      </c>
      <c r="E6">
        <v>56</v>
      </c>
      <c r="F6">
        <v>5190</v>
      </c>
      <c r="G6">
        <v>96</v>
      </c>
      <c r="H6">
        <v>17.100000000000001</v>
      </c>
      <c r="I6">
        <v>2.2999999999999998</v>
      </c>
      <c r="J6" s="1">
        <f t="shared" si="0"/>
        <v>5.2770600000000005E+23</v>
      </c>
      <c r="K6" s="1">
        <f t="shared" si="1"/>
        <v>7.0977999999999995E+22</v>
      </c>
      <c r="M6">
        <v>0.04</v>
      </c>
      <c r="N6">
        <v>0.03</v>
      </c>
      <c r="O6">
        <v>36.299999999999997</v>
      </c>
      <c r="P6">
        <v>36.270000000000003</v>
      </c>
      <c r="Q6">
        <f t="shared" si="2"/>
        <v>1.6E-2</v>
      </c>
      <c r="R6">
        <f t="shared" si="3"/>
        <v>1.2E-2</v>
      </c>
      <c r="U6" s="1">
        <f t="shared" si="4"/>
        <v>6.8938234093321869E+38</v>
      </c>
      <c r="V6" s="1">
        <f t="shared" si="5"/>
        <v>1.9947762548818031E+32</v>
      </c>
      <c r="W6" s="1">
        <f t="shared" si="12"/>
        <v>5.4461204933724276E-3</v>
      </c>
      <c r="X6" s="1">
        <f t="shared" si="13"/>
        <v>1.5758732413566244E-9</v>
      </c>
      <c r="Y6" s="1">
        <f t="shared" si="6"/>
        <v>1.0732668221533917E+41</v>
      </c>
      <c r="Z6" s="1">
        <f t="shared" si="7"/>
        <v>2.893793529383238E+34</v>
      </c>
      <c r="AA6" s="1">
        <f t="shared" si="14"/>
        <v>0.8478807895011794</v>
      </c>
      <c r="AB6" s="1">
        <f t="shared" si="15"/>
        <v>2.286096888212758E-7</v>
      </c>
      <c r="AC6" s="1">
        <f t="shared" si="8"/>
        <v>1.8161900250981749E+41</v>
      </c>
      <c r="AD6">
        <f t="shared" si="9"/>
        <v>4.89719363341177E+34</v>
      </c>
      <c r="AE6" s="1">
        <f t="shared" si="16"/>
        <v>1.4347901198275581</v>
      </c>
      <c r="AF6" s="1">
        <f t="shared" si="17"/>
        <v>3.8687829703952981E-7</v>
      </c>
      <c r="AG6" s="1">
        <f t="shared" si="10"/>
        <v>1.9952623149688681E+43</v>
      </c>
      <c r="AH6" s="1">
        <f t="shared" si="18"/>
        <v>7.3508180208961706E+41</v>
      </c>
      <c r="AI6" s="1">
        <f t="shared" si="25"/>
        <v>0.65843656393972649</v>
      </c>
      <c r="AJ6" s="1">
        <f t="shared" si="19"/>
        <v>2.4257699468957363E-2</v>
      </c>
      <c r="AK6" s="1">
        <f t="shared" si="11"/>
        <v>2.0824266941651879</v>
      </c>
      <c r="AL6" s="1">
        <f t="shared" si="20"/>
        <v>1.2983056665072519E-2</v>
      </c>
      <c r="AM6" s="1">
        <f t="shared" si="26"/>
        <v>-0.10982085565570479</v>
      </c>
      <c r="AN6" s="1">
        <f t="shared" si="21"/>
        <v>1.2983056664628102E-2</v>
      </c>
      <c r="AO6" s="1">
        <f t="shared" si="27"/>
        <v>-0.33827443752167707</v>
      </c>
      <c r="AP6" s="1">
        <f t="shared" si="22"/>
        <v>1.2983056664318088E-2</v>
      </c>
      <c r="AQ6" s="1">
        <f t="shared" si="23"/>
        <v>-2.9999999999994031E-2</v>
      </c>
      <c r="AR6" s="1">
        <f t="shared" si="24"/>
        <v>0.02</v>
      </c>
    </row>
    <row r="7" spans="1:44" x14ac:dyDescent="0.35">
      <c r="A7" t="s">
        <v>11</v>
      </c>
      <c r="B7">
        <v>8.6999999999999993</v>
      </c>
      <c r="C7">
        <v>2.2000000000000002</v>
      </c>
      <c r="D7">
        <v>52</v>
      </c>
      <c r="E7">
        <v>21</v>
      </c>
      <c r="F7">
        <v>440</v>
      </c>
      <c r="G7">
        <v>300</v>
      </c>
      <c r="H7">
        <v>10.8</v>
      </c>
      <c r="I7">
        <v>2.2999999999999998</v>
      </c>
      <c r="J7" s="1">
        <f t="shared" si="0"/>
        <v>3.3328800000000002E+23</v>
      </c>
      <c r="K7" s="1">
        <f t="shared" si="1"/>
        <v>7.0977999999999995E+22</v>
      </c>
      <c r="M7">
        <v>0.01</v>
      </c>
      <c r="N7">
        <v>0.01</v>
      </c>
      <c r="O7">
        <v>35.22</v>
      </c>
      <c r="P7">
        <v>35.380000000000003</v>
      </c>
      <c r="Q7">
        <f t="shared" si="2"/>
        <v>4.0000000000000001E-3</v>
      </c>
      <c r="R7">
        <f t="shared" si="3"/>
        <v>4.0000000000000001E-3</v>
      </c>
      <c r="S7" t="s">
        <v>12</v>
      </c>
      <c r="U7" s="1">
        <f t="shared" si="4"/>
        <v>1.2144187700847005E+38</v>
      </c>
      <c r="V7" s="1">
        <f t="shared" si="5"/>
        <v>6.0154555710957113E+31</v>
      </c>
      <c r="W7" s="1">
        <f t="shared" si="12"/>
        <v>9.5939082836691333E-4</v>
      </c>
      <c r="X7" s="1">
        <f t="shared" si="13"/>
        <v>4.7522099011656113E-10</v>
      </c>
      <c r="Y7" s="1">
        <f t="shared" si="6"/>
        <v>7.2585949476326941E+38</v>
      </c>
      <c r="Z7" s="1">
        <f t="shared" si="7"/>
        <v>4.2603971080175582E+32</v>
      </c>
      <c r="AA7" s="1">
        <f t="shared" si="14"/>
        <v>5.7342900086298281E-3</v>
      </c>
      <c r="AB7" s="1">
        <f t="shared" si="15"/>
        <v>3.3657137153338708E-9</v>
      </c>
      <c r="AC7" s="1">
        <f t="shared" si="8"/>
        <v>6.141888032612279E+39</v>
      </c>
      <c r="AD7">
        <f t="shared" si="9"/>
        <v>4.9375925902638313E+33</v>
      </c>
      <c r="AE7" s="1">
        <f t="shared" si="16"/>
        <v>4.8520915457637002E-2</v>
      </c>
      <c r="AF7" s="1">
        <f t="shared" si="17"/>
        <v>3.9006981463084265E-8</v>
      </c>
      <c r="AG7" s="1">
        <f t="shared" si="10"/>
        <v>1.6595869074375683E+42</v>
      </c>
      <c r="AH7" s="1">
        <f t="shared" si="18"/>
        <v>1.5285360294375339E+40</v>
      </c>
      <c r="AI7" s="1">
        <f t="shared" si="25"/>
        <v>5.4766367945439758E-2</v>
      </c>
      <c r="AJ7" s="1">
        <f t="shared" si="19"/>
        <v>5.0441688971438619E-4</v>
      </c>
      <c r="AK7" s="1">
        <f t="shared" si="11"/>
        <v>1.7565183775185749</v>
      </c>
      <c r="AL7" s="1">
        <f t="shared" si="20"/>
        <v>9.3608861070020402E-4</v>
      </c>
      <c r="AM7" s="1">
        <f t="shared" si="26"/>
        <v>0.98003428650239421</v>
      </c>
      <c r="AN7" s="1">
        <f t="shared" si="21"/>
        <v>9.3608861052489893E-4</v>
      </c>
      <c r="AO7" s="1">
        <f t="shared" si="27"/>
        <v>5.2584953651005996E-2</v>
      </c>
      <c r="AP7" s="1">
        <f t="shared" si="22"/>
        <v>9.3608860756471692E-4</v>
      </c>
      <c r="AQ7" s="1">
        <f t="shared" si="23"/>
        <v>0.16000000000000369</v>
      </c>
      <c r="AR7" s="1">
        <f t="shared" si="24"/>
        <v>5.6568542494923801E-3</v>
      </c>
    </row>
    <row r="8" spans="1:44" x14ac:dyDescent="0.35">
      <c r="A8" t="s">
        <v>13</v>
      </c>
      <c r="B8">
        <v>3</v>
      </c>
      <c r="C8">
        <v>1.3</v>
      </c>
      <c r="D8">
        <v>484</v>
      </c>
      <c r="E8">
        <v>15</v>
      </c>
      <c r="F8">
        <v>1079</v>
      </c>
      <c r="G8">
        <v>72</v>
      </c>
      <c r="H8">
        <v>11.8</v>
      </c>
      <c r="I8">
        <v>2.2999999999999998</v>
      </c>
      <c r="J8" s="1">
        <f t="shared" si="0"/>
        <v>3.6414800000000005E+23</v>
      </c>
      <c r="K8" s="1">
        <f t="shared" si="1"/>
        <v>7.0977999999999995E+22</v>
      </c>
      <c r="M8">
        <v>0.02</v>
      </c>
      <c r="N8">
        <v>0.02</v>
      </c>
      <c r="O8">
        <v>35.58</v>
      </c>
      <c r="P8">
        <v>35.53</v>
      </c>
      <c r="Q8">
        <f t="shared" si="2"/>
        <v>8.0000000000000002E-3</v>
      </c>
      <c r="R8">
        <f t="shared" si="3"/>
        <v>8.0000000000000002E-3</v>
      </c>
      <c r="U8" s="1">
        <f t="shared" si="4"/>
        <v>4.9990442016281661E+37</v>
      </c>
      <c r="V8" s="1">
        <f t="shared" si="5"/>
        <v>2.9138279127832742E+31</v>
      </c>
      <c r="W8" s="1">
        <f t="shared" si="12"/>
        <v>3.9492449192862512E-4</v>
      </c>
      <c r="X8" s="1">
        <f t="shared" si="13"/>
        <v>2.3019240510987866E-10</v>
      </c>
      <c r="Y8" s="1">
        <f t="shared" si="6"/>
        <v>8.0651246452934427E+39</v>
      </c>
      <c r="Z8" s="1">
        <f t="shared" si="7"/>
        <v>3.1539516593248977E+33</v>
      </c>
      <c r="AA8" s="1">
        <f t="shared" si="14"/>
        <v>6.3714484697818194E-2</v>
      </c>
      <c r="AB8" s="1">
        <f t="shared" si="15"/>
        <v>2.491621810866669E-8</v>
      </c>
      <c r="AC8" s="1">
        <f t="shared" si="8"/>
        <v>1.7979895645189303E+40</v>
      </c>
      <c r="AD8">
        <f t="shared" si="9"/>
        <v>7.1110546758098546E+33</v>
      </c>
      <c r="AE8" s="1">
        <f t="shared" si="16"/>
        <v>0.14204117559699547</v>
      </c>
      <c r="AF8" s="1">
        <f t="shared" si="17"/>
        <v>5.617733193889785E-8</v>
      </c>
      <c r="AG8" s="1">
        <f t="shared" si="10"/>
        <v>3.8018939632056163E+42</v>
      </c>
      <c r="AH8" s="1">
        <f t="shared" si="18"/>
        <v>7.0033474918570444E+40</v>
      </c>
      <c r="AI8" s="1">
        <f t="shared" si="25"/>
        <v>0.12546250078578533</v>
      </c>
      <c r="AJ8" s="1">
        <f t="shared" si="19"/>
        <v>2.3111046723128248E-3</v>
      </c>
      <c r="AK8" s="1">
        <f t="shared" si="11"/>
        <v>2.5019998717791783</v>
      </c>
      <c r="AL8" s="1">
        <f t="shared" si="20"/>
        <v>2.83365489258395E-3</v>
      </c>
      <c r="AM8" s="1">
        <f t="shared" si="26"/>
        <v>0.29427576485442797</v>
      </c>
      <c r="AN8" s="1">
        <f t="shared" si="21"/>
        <v>2.8336548922641368E-3</v>
      </c>
      <c r="AO8" s="1">
        <f t="shared" si="27"/>
        <v>-5.3900318184070053E-2</v>
      </c>
      <c r="AP8" s="1">
        <f t="shared" si="22"/>
        <v>2.8336548918489806E-3</v>
      </c>
      <c r="AQ8" s="1">
        <f t="shared" si="23"/>
        <v>-4.9999999999997158E-2</v>
      </c>
      <c r="AR8" s="1">
        <f t="shared" si="24"/>
        <v>1.131370849898476E-2</v>
      </c>
    </row>
    <row r="9" spans="1:44" x14ac:dyDescent="0.35">
      <c r="A9" t="s">
        <v>14</v>
      </c>
      <c r="B9">
        <v>89.6</v>
      </c>
      <c r="C9">
        <v>7</v>
      </c>
      <c r="D9">
        <v>587</v>
      </c>
      <c r="E9">
        <v>60</v>
      </c>
      <c r="F9">
        <v>3700</v>
      </c>
      <c r="G9">
        <v>110</v>
      </c>
      <c r="H9">
        <v>20.399999999999999</v>
      </c>
      <c r="I9">
        <v>2.2999999999999998</v>
      </c>
      <c r="J9" s="1">
        <f t="shared" si="0"/>
        <v>6.2954399999999994E+23</v>
      </c>
      <c r="K9" s="1">
        <f t="shared" si="1"/>
        <v>7.0977999999999995E+22</v>
      </c>
      <c r="M9">
        <v>0.02</v>
      </c>
      <c r="N9">
        <v>0.01</v>
      </c>
      <c r="O9">
        <v>36.6</v>
      </c>
      <c r="P9">
        <v>36.5</v>
      </c>
      <c r="Q9">
        <f t="shared" si="2"/>
        <v>8.0000000000000002E-3</v>
      </c>
      <c r="R9">
        <f t="shared" si="3"/>
        <v>4.0000000000000001E-3</v>
      </c>
      <c r="U9" s="1">
        <f t="shared" si="4"/>
        <v>4.462415978442069E+39</v>
      </c>
      <c r="V9" s="1">
        <f t="shared" si="5"/>
        <v>1.0649137030638105E+33</v>
      </c>
      <c r="W9" s="1">
        <f t="shared" si="12"/>
        <v>3.5253086229692344E-2</v>
      </c>
      <c r="X9" s="1">
        <f t="shared" si="13"/>
        <v>8.4128182542041022E-9</v>
      </c>
      <c r="Y9" s="1">
        <f t="shared" si="6"/>
        <v>2.9234801108766681E+40</v>
      </c>
      <c r="Z9" s="1">
        <f t="shared" si="7"/>
        <v>7.2378225777428149E+33</v>
      </c>
      <c r="AA9" s="1">
        <f t="shared" si="14"/>
        <v>0.23095492875925677</v>
      </c>
      <c r="AB9" s="1">
        <f t="shared" si="15"/>
        <v>5.7178798364168237E-8</v>
      </c>
      <c r="AC9" s="1">
        <f t="shared" si="8"/>
        <v>1.8427387410977292E+41</v>
      </c>
      <c r="AD9">
        <f t="shared" si="9"/>
        <v>4.1911546364552504E+34</v>
      </c>
      <c r="AE9" s="1">
        <f t="shared" si="16"/>
        <v>1.4557636054672061</v>
      </c>
      <c r="AF9" s="1">
        <f t="shared" si="17"/>
        <v>3.3110121627996478E-7</v>
      </c>
      <c r="AG9" s="1">
        <f t="shared" si="10"/>
        <v>3.9810717055349953E+43</v>
      </c>
      <c r="AH9" s="1">
        <f t="shared" si="18"/>
        <v>7.3334050906442099E+41</v>
      </c>
      <c r="AI9" s="1">
        <f t="shared" si="25"/>
        <v>1.3137536628265485</v>
      </c>
      <c r="AJ9" s="1">
        <f t="shared" si="19"/>
        <v>2.4200236799125894E-2</v>
      </c>
      <c r="AK9" s="1">
        <f t="shared" si="11"/>
        <v>1.5713167965971706</v>
      </c>
      <c r="AL9" s="1">
        <f t="shared" si="20"/>
        <v>9.1695274916715544E-3</v>
      </c>
      <c r="AM9" s="1">
        <f t="shared" si="26"/>
        <v>0.75498670501168141</v>
      </c>
      <c r="AN9" s="1">
        <f t="shared" si="21"/>
        <v>9.1695274915466127E-3</v>
      </c>
      <c r="AO9" s="1">
        <f t="shared" si="27"/>
        <v>-4.4576917807699054E-2</v>
      </c>
      <c r="AP9" s="1">
        <f t="shared" si="22"/>
        <v>9.1695274909177008E-3</v>
      </c>
      <c r="AQ9" s="1">
        <f t="shared" si="23"/>
        <v>-0.10000000000000142</v>
      </c>
      <c r="AR9" s="1">
        <f t="shared" si="24"/>
        <v>8.9442719099991578E-3</v>
      </c>
    </row>
    <row r="10" spans="1:44" x14ac:dyDescent="0.35">
      <c r="A10" t="s">
        <v>39</v>
      </c>
      <c r="B10" s="5"/>
      <c r="C10" s="5"/>
      <c r="D10">
        <v>103.6</v>
      </c>
      <c r="E10">
        <v>9.9</v>
      </c>
      <c r="F10">
        <v>13420</v>
      </c>
      <c r="G10">
        <v>600</v>
      </c>
      <c r="H10">
        <v>3.13</v>
      </c>
      <c r="I10">
        <v>0.14000000000000001</v>
      </c>
      <c r="J10" s="1">
        <f t="shared" si="0"/>
        <v>9.6591799999999997E+22</v>
      </c>
      <c r="K10" s="1">
        <f t="shared" si="1"/>
        <v>4.3204000000000005E+21</v>
      </c>
      <c r="M10">
        <v>0.01</v>
      </c>
      <c r="N10">
        <v>0.01</v>
      </c>
      <c r="O10">
        <v>35.79</v>
      </c>
      <c r="P10">
        <v>35.69</v>
      </c>
      <c r="Q10">
        <f t="shared" si="2"/>
        <v>4.0000000000000001E-3</v>
      </c>
      <c r="R10">
        <f t="shared" si="3"/>
        <v>4.0000000000000001E-3</v>
      </c>
      <c r="U10" s="6">
        <f t="shared" si="4"/>
        <v>0</v>
      </c>
      <c r="V10" s="6">
        <f t="shared" si="5"/>
        <v>0</v>
      </c>
      <c r="W10" s="6">
        <f t="shared" si="12"/>
        <v>0</v>
      </c>
      <c r="X10" s="6">
        <f t="shared" si="13"/>
        <v>0</v>
      </c>
      <c r="Y10" s="1">
        <f t="shared" si="6"/>
        <v>1.214647156945621E+38</v>
      </c>
      <c r="Z10" s="1">
        <f t="shared" si="7"/>
        <v>1.5899455456172396E+31</v>
      </c>
      <c r="AA10" s="1">
        <f t="shared" si="14"/>
        <v>9.5957125398704059E-4</v>
      </c>
      <c r="AB10" s="1">
        <f t="shared" si="15"/>
        <v>1.2560569810376193E-10</v>
      </c>
      <c r="AC10" s="1">
        <f t="shared" si="8"/>
        <v>1.5734135951940382E+40</v>
      </c>
      <c r="AD10">
        <f t="shared" si="9"/>
        <v>1.5735285190435056E+33</v>
      </c>
      <c r="AE10" s="1">
        <f t="shared" si="16"/>
        <v>0.12429967402032902</v>
      </c>
      <c r="AF10" s="1">
        <f t="shared" si="17"/>
        <v>1.2430875300443694E-8</v>
      </c>
      <c r="AG10" s="1">
        <f t="shared" si="10"/>
        <v>6.1659500186148169E+42</v>
      </c>
      <c r="AH10" s="1">
        <f t="shared" si="18"/>
        <v>5.6790498388035346E+40</v>
      </c>
      <c r="AI10" s="1">
        <f t="shared" si="25"/>
        <v>0.20347635061428895</v>
      </c>
      <c r="AJ10" s="1">
        <f t="shared" si="19"/>
        <v>1.8740864468051665E-3</v>
      </c>
      <c r="AK10" s="6" t="e">
        <f t="shared" si="11"/>
        <v>#DIV/0!</v>
      </c>
      <c r="AL10" s="6" t="e">
        <f t="shared" si="20"/>
        <v>#DIV/0!</v>
      </c>
      <c r="AM10" s="1">
        <f>LOG(AI10/AA10)</f>
        <v>2.3264367106089794</v>
      </c>
      <c r="AN10" s="1">
        <f t="shared" si="21"/>
        <v>1.804334118123781E-3</v>
      </c>
      <c r="AO10" s="1">
        <f>LOG(AI10/AE10)</f>
        <v>0.21404395018522029</v>
      </c>
      <c r="AP10" s="1">
        <f t="shared" si="22"/>
        <v>1.8043341180596639E-3</v>
      </c>
      <c r="AQ10" s="1">
        <f t="shared" si="23"/>
        <v>-0.10000000000000142</v>
      </c>
      <c r="AR10" s="1">
        <f t="shared" si="24"/>
        <v>5.6568542494923801E-3</v>
      </c>
    </row>
    <row r="11" spans="1:44" x14ac:dyDescent="0.35">
      <c r="A11" t="s">
        <v>15</v>
      </c>
      <c r="B11">
        <v>218</v>
      </c>
      <c r="C11">
        <v>2.4</v>
      </c>
      <c r="D11">
        <v>1258</v>
      </c>
      <c r="E11">
        <v>16</v>
      </c>
      <c r="F11">
        <v>1289</v>
      </c>
      <c r="G11">
        <v>26</v>
      </c>
      <c r="H11">
        <v>26.2</v>
      </c>
      <c r="I11">
        <v>2.2999999999999998</v>
      </c>
      <c r="J11" s="1">
        <f t="shared" si="0"/>
        <v>8.0853200000000005E+23</v>
      </c>
      <c r="K11" s="1">
        <f t="shared" si="1"/>
        <v>7.0977999999999995E+22</v>
      </c>
      <c r="M11">
        <v>0.01</v>
      </c>
      <c r="N11">
        <v>0.01</v>
      </c>
      <c r="O11">
        <v>35.28</v>
      </c>
      <c r="P11">
        <v>35.43</v>
      </c>
      <c r="Q11">
        <f t="shared" si="2"/>
        <v>4.0000000000000001E-3</v>
      </c>
      <c r="R11">
        <f t="shared" si="3"/>
        <v>4.0000000000000001E-3</v>
      </c>
      <c r="S11" t="s">
        <v>16</v>
      </c>
      <c r="U11" s="1">
        <f t="shared" si="4"/>
        <v>1.7908564842116948E+40</v>
      </c>
      <c r="V11" s="1">
        <f t="shared" si="5"/>
        <v>3.1504271342129151E+33</v>
      </c>
      <c r="W11" s="1">
        <f t="shared" si="12"/>
        <v>0.14147766225272387</v>
      </c>
      <c r="X11" s="1">
        <f t="shared" si="13"/>
        <v>2.4888374360282027E-8</v>
      </c>
      <c r="Y11" s="1">
        <f t="shared" si="6"/>
        <v>1.0334392005221616E+41</v>
      </c>
      <c r="Z11" s="1">
        <f t="shared" si="7"/>
        <v>1.8191897768293007E+34</v>
      </c>
      <c r="AA11" s="1">
        <f t="shared" si="14"/>
        <v>0.81641696841250755</v>
      </c>
      <c r="AB11" s="1">
        <f t="shared" si="15"/>
        <v>1.4371599236951475E-7</v>
      </c>
      <c r="AC11" s="1">
        <f t="shared" si="8"/>
        <v>1.0589055083251718E+41</v>
      </c>
      <c r="AD11">
        <f t="shared" si="9"/>
        <v>1.8713759238936621E+34</v>
      </c>
      <c r="AE11" s="1">
        <f t="shared" si="16"/>
        <v>0.83653535157688563</v>
      </c>
      <c r="AF11" s="1">
        <f t="shared" si="17"/>
        <v>1.478386979875993E-7</v>
      </c>
      <c r="AG11" s="1">
        <f t="shared" si="10"/>
        <v>1.9054607179632548E+42</v>
      </c>
      <c r="AH11" s="1">
        <f t="shared" si="18"/>
        <v>1.754994177787169E+40</v>
      </c>
      <c r="AI11" s="1">
        <f t="shared" si="25"/>
        <v>6.2880203692787406E-2</v>
      </c>
      <c r="AJ11" s="1">
        <f t="shared" si="19"/>
        <v>5.7914807866976583E-4</v>
      </c>
      <c r="AK11" s="1">
        <f t="shared" si="11"/>
        <v>-0.35217393513300316</v>
      </c>
      <c r="AL11" s="1">
        <f t="shared" si="20"/>
        <v>1.0030370173920804E-3</v>
      </c>
      <c r="AM11" s="1">
        <f>LOG(AI11/AA11)</f>
        <v>-1.1133980826376484</v>
      </c>
      <c r="AN11" s="1">
        <f t="shared" si="21"/>
        <v>1.003037015425138E-3</v>
      </c>
      <c r="AO11" s="1">
        <f t="shared" si="27"/>
        <v>-1.1239703588818013</v>
      </c>
      <c r="AP11" s="1">
        <f t="shared" si="22"/>
        <v>1.0030370153472469E-3</v>
      </c>
      <c r="AQ11" s="1">
        <f t="shared" si="23"/>
        <v>0.14999999999999858</v>
      </c>
      <c r="AR11" s="1">
        <f t="shared" si="24"/>
        <v>5.6568542494923801E-3</v>
      </c>
    </row>
    <row r="12" spans="1:44" x14ac:dyDescent="0.35">
      <c r="A12" t="s">
        <v>17</v>
      </c>
      <c r="B12">
        <v>15.9</v>
      </c>
      <c r="C12">
        <v>4.4000000000000004</v>
      </c>
      <c r="D12" s="5"/>
      <c r="E12" s="5"/>
      <c r="F12">
        <v>1430</v>
      </c>
      <c r="G12">
        <v>270</v>
      </c>
      <c r="H12">
        <v>14.1</v>
      </c>
      <c r="I12">
        <v>1.5</v>
      </c>
      <c r="J12" s="1">
        <f t="shared" si="0"/>
        <v>4.3512599999999998E+23</v>
      </c>
      <c r="K12" s="1">
        <f t="shared" si="1"/>
        <v>4.6289999999999999E+22</v>
      </c>
      <c r="M12">
        <v>0.01</v>
      </c>
      <c r="N12">
        <v>0.01</v>
      </c>
      <c r="O12">
        <v>35.79</v>
      </c>
      <c r="P12">
        <v>35.81</v>
      </c>
      <c r="Q12">
        <f t="shared" si="2"/>
        <v>4.0000000000000001E-3</v>
      </c>
      <c r="R12">
        <f t="shared" si="3"/>
        <v>4.0000000000000001E-3</v>
      </c>
      <c r="U12" s="1">
        <f t="shared" si="4"/>
        <v>3.7830062352385711E+38</v>
      </c>
      <c r="V12" s="1">
        <f t="shared" si="5"/>
        <v>1.320527142636466E+32</v>
      </c>
      <c r="W12" s="1">
        <f t="shared" si="12"/>
        <v>2.9885749258384709E-3</v>
      </c>
      <c r="X12" s="1">
        <f t="shared" si="13"/>
        <v>1.043216442682808E-9</v>
      </c>
      <c r="Y12" s="6">
        <f t="shared" si="6"/>
        <v>0</v>
      </c>
      <c r="Z12" s="6">
        <f t="shared" si="7"/>
        <v>0</v>
      </c>
      <c r="AA12" s="6">
        <f t="shared" si="14"/>
        <v>0</v>
      </c>
      <c r="AB12" s="6">
        <f t="shared" si="15"/>
        <v>0</v>
      </c>
      <c r="AC12" s="1">
        <f t="shared" si="8"/>
        <v>3.4023263625101616E+40</v>
      </c>
      <c r="AD12">
        <f t="shared" si="9"/>
        <v>9.6783488342215523E+33</v>
      </c>
      <c r="AE12" s="1">
        <f t="shared" si="16"/>
        <v>0.26878378263830277</v>
      </c>
      <c r="AF12" s="1">
        <f t="shared" si="17"/>
        <v>7.6458955790350262E-8</v>
      </c>
      <c r="AG12" s="1">
        <f t="shared" si="10"/>
        <v>6.1659500186148169E+42</v>
      </c>
      <c r="AH12" s="1">
        <f t="shared" si="18"/>
        <v>5.6790498388035346E+40</v>
      </c>
      <c r="AI12" s="1">
        <f t="shared" si="25"/>
        <v>0.20347635061428895</v>
      </c>
      <c r="AJ12" s="1">
        <f t="shared" si="19"/>
        <v>1.8740864468051665E-3</v>
      </c>
      <c r="AK12" s="1">
        <f t="shared" si="11"/>
        <v>1.8330497914798793</v>
      </c>
      <c r="AL12" s="1">
        <f t="shared" si="20"/>
        <v>1.8043341181056072E-3</v>
      </c>
      <c r="AM12" s="6" t="e">
        <f t="shared" si="26"/>
        <v>#DIV/0!</v>
      </c>
      <c r="AN12" s="6" t="e">
        <f t="shared" si="21"/>
        <v>#DIV/0!</v>
      </c>
      <c r="AO12" s="1">
        <f t="shared" si="27"/>
        <v>-0.12088912166473112</v>
      </c>
      <c r="AP12" s="1">
        <f t="shared" si="22"/>
        <v>1.8043341169878631E-3</v>
      </c>
      <c r="AQ12" s="1">
        <f t="shared" si="23"/>
        <v>2.0000000000003126E-2</v>
      </c>
      <c r="AR12" s="1">
        <f t="shared" si="24"/>
        <v>5.6568542494923801E-3</v>
      </c>
    </row>
    <row r="13" spans="1:44" x14ac:dyDescent="0.35">
      <c r="A13" t="s">
        <v>18</v>
      </c>
      <c r="B13">
        <v>5.8</v>
      </c>
      <c r="C13">
        <v>3.2</v>
      </c>
      <c r="D13">
        <v>47</v>
      </c>
      <c r="E13">
        <v>33</v>
      </c>
      <c r="F13" s="5"/>
      <c r="G13" s="5"/>
      <c r="H13">
        <v>26.4</v>
      </c>
      <c r="I13">
        <v>1.3</v>
      </c>
      <c r="J13" s="1">
        <f t="shared" si="0"/>
        <v>8.1470399999999994E+23</v>
      </c>
      <c r="K13" s="1">
        <f t="shared" si="1"/>
        <v>4.0118000000000007E+22</v>
      </c>
      <c r="M13">
        <v>0.02</v>
      </c>
      <c r="N13">
        <v>0.01</v>
      </c>
      <c r="O13">
        <v>34.46</v>
      </c>
      <c r="P13">
        <v>34.94</v>
      </c>
      <c r="Q13">
        <f t="shared" si="2"/>
        <v>8.0000000000000002E-3</v>
      </c>
      <c r="R13">
        <f t="shared" si="3"/>
        <v>4.0000000000000001E-3</v>
      </c>
      <c r="U13" s="1">
        <f t="shared" si="4"/>
        <v>4.8376846479094221E+38</v>
      </c>
      <c r="V13" s="1">
        <f t="shared" si="5"/>
        <v>2.7112569999989335E+32</v>
      </c>
      <c r="W13" s="1">
        <f t="shared" si="12"/>
        <v>3.8217708718484432E-3</v>
      </c>
      <c r="X13" s="1">
        <f t="shared" si="13"/>
        <v>2.1418930299991575E-9</v>
      </c>
      <c r="Y13" s="1">
        <f t="shared" si="6"/>
        <v>3.9201927319266012E+39</v>
      </c>
      <c r="Z13" s="1">
        <f t="shared" si="7"/>
        <v>2.7794208372832206E+33</v>
      </c>
      <c r="AA13" s="1">
        <f t="shared" si="14"/>
        <v>3.096952258222015E-2</v>
      </c>
      <c r="AB13" s="1">
        <f t="shared" si="15"/>
        <v>2.1957424614537444E-8</v>
      </c>
      <c r="AC13" s="6">
        <f t="shared" si="8"/>
        <v>0</v>
      </c>
      <c r="AD13" s="6">
        <f t="shared" si="9"/>
        <v>0</v>
      </c>
      <c r="AE13" s="6">
        <f t="shared" si="16"/>
        <v>0</v>
      </c>
      <c r="AF13" s="6">
        <f t="shared" si="17"/>
        <v>0</v>
      </c>
      <c r="AG13" s="1">
        <f t="shared" si="10"/>
        <v>2.88403150312664E+41</v>
      </c>
      <c r="AH13" s="1">
        <f t="shared" si="18"/>
        <v>5.3125823574596897E+39</v>
      </c>
      <c r="AI13" s="1">
        <f t="shared" si="25"/>
        <v>9.5173039603179115E-3</v>
      </c>
      <c r="AJ13" s="1">
        <f t="shared" si="19"/>
        <v>1.7531521779616977E-4</v>
      </c>
      <c r="AK13" s="1">
        <f t="shared" si="11"/>
        <v>0.39624929380849672</v>
      </c>
      <c r="AL13" s="1">
        <f t="shared" si="20"/>
        <v>7.8045336390711675E-4</v>
      </c>
      <c r="AM13" s="1">
        <f t="shared" si="26"/>
        <v>-0.51242057056428358</v>
      </c>
      <c r="AN13" s="1">
        <f t="shared" si="21"/>
        <v>7.8045336217103336E-4</v>
      </c>
      <c r="AO13" s="6" t="e">
        <f t="shared" si="27"/>
        <v>#DIV/0!</v>
      </c>
      <c r="AP13" s="6" t="e">
        <f t="shared" si="22"/>
        <v>#DIV/0!</v>
      </c>
      <c r="AQ13" s="1">
        <f t="shared" si="23"/>
        <v>0.47999999999999687</v>
      </c>
      <c r="AR13" s="1">
        <f t="shared" si="24"/>
        <v>8.9442719099991578E-3</v>
      </c>
    </row>
    <row r="14" spans="1:44" x14ac:dyDescent="0.35">
      <c r="A14" t="s">
        <v>19</v>
      </c>
      <c r="B14">
        <v>15.86</v>
      </c>
      <c r="C14">
        <v>0.46</v>
      </c>
      <c r="D14">
        <v>72.599999999999994</v>
      </c>
      <c r="E14">
        <v>6.6</v>
      </c>
      <c r="F14">
        <v>864</v>
      </c>
      <c r="G14">
        <v>24</v>
      </c>
      <c r="H14">
        <v>13.68</v>
      </c>
      <c r="I14">
        <v>0.5</v>
      </c>
      <c r="J14" s="1">
        <f t="shared" si="0"/>
        <v>4.221648E+23</v>
      </c>
      <c r="K14" s="1">
        <f t="shared" si="1"/>
        <v>1.5430000000000001E+22</v>
      </c>
      <c r="M14">
        <v>0.01</v>
      </c>
      <c r="N14">
        <v>0.01</v>
      </c>
      <c r="O14">
        <v>36.19</v>
      </c>
      <c r="P14">
        <v>36.090000000000003</v>
      </c>
      <c r="Q14">
        <f t="shared" si="2"/>
        <v>4.0000000000000001E-3</v>
      </c>
      <c r="R14">
        <f t="shared" si="3"/>
        <v>4.0000000000000001E-3</v>
      </c>
      <c r="U14" s="1">
        <f t="shared" si="4"/>
        <v>3.5520337631515438E+38</v>
      </c>
      <c r="V14" s="1">
        <f t="shared" si="5"/>
        <v>2.7934309909920426E+31</v>
      </c>
      <c r="W14" s="1">
        <f t="shared" si="12"/>
        <v>2.8061066728897193E-3</v>
      </c>
      <c r="X14" s="1">
        <f t="shared" si="13"/>
        <v>2.2068104828837136E-10</v>
      </c>
      <c r="Y14" s="1">
        <f t="shared" si="6"/>
        <v>1.6259624918335571E+39</v>
      </c>
      <c r="Z14" s="1">
        <f t="shared" si="7"/>
        <v>1.8967385489131217E+32</v>
      </c>
      <c r="AA14" s="1">
        <f t="shared" si="14"/>
        <v>1.2845103685485101E-2</v>
      </c>
      <c r="AB14" s="1">
        <f t="shared" si="15"/>
        <v>1.498423453641366E-9</v>
      </c>
      <c r="AC14" s="1">
        <f t="shared" si="8"/>
        <v>1.9350297423473733E+40</v>
      </c>
      <c r="AD14">
        <f t="shared" si="9"/>
        <v>1.5131795798148774E+33</v>
      </c>
      <c r="AE14" s="1">
        <f t="shared" si="16"/>
        <v>0.15286734964544249</v>
      </c>
      <c r="AF14" s="1">
        <f t="shared" si="17"/>
        <v>1.1954118680537531E-8</v>
      </c>
      <c r="AG14" s="1">
        <f t="shared" si="10"/>
        <v>1.5488166189124962E+43</v>
      </c>
      <c r="AH14" s="1">
        <f t="shared" si="18"/>
        <v>1.4265128233957414E+41</v>
      </c>
      <c r="AI14" s="1">
        <f t="shared" si="25"/>
        <v>0.51110948424112379</v>
      </c>
      <c r="AJ14" s="1">
        <f t="shared" si="19"/>
        <v>4.707492317205947E-3</v>
      </c>
      <c r="AK14" s="1">
        <f t="shared" si="11"/>
        <v>2.2604097633613156</v>
      </c>
      <c r="AL14" s="1">
        <f t="shared" si="20"/>
        <v>2.8596768607405112E-3</v>
      </c>
      <c r="AM14" s="1">
        <f t="shared" si="26"/>
        <v>1.5997763256428066</v>
      </c>
      <c r="AN14" s="1">
        <f t="shared" si="21"/>
        <v>2.8596768607353192E-3</v>
      </c>
      <c r="AO14" s="1">
        <f t="shared" si="27"/>
        <v>0.52419920386400698</v>
      </c>
      <c r="AP14" s="1">
        <f t="shared" si="22"/>
        <v>2.8596768607102559E-3</v>
      </c>
      <c r="AQ14" s="1">
        <f t="shared" si="23"/>
        <v>-9.9999999999994316E-2</v>
      </c>
      <c r="AR14" s="1">
        <f t="shared" si="24"/>
        <v>5.6568542494923801E-3</v>
      </c>
    </row>
    <row r="15" spans="1:44" x14ac:dyDescent="0.35">
      <c r="A15" t="s">
        <v>40</v>
      </c>
      <c r="B15" s="5"/>
      <c r="C15" s="5"/>
      <c r="D15">
        <v>166</v>
      </c>
      <c r="E15">
        <v>34</v>
      </c>
      <c r="F15">
        <v>5090</v>
      </c>
      <c r="G15">
        <v>170</v>
      </c>
      <c r="H15">
        <v>10.1</v>
      </c>
      <c r="I15">
        <v>2.2999999999999998</v>
      </c>
      <c r="J15" s="1">
        <f t="shared" si="0"/>
        <v>3.1168600000000003E+23</v>
      </c>
      <c r="K15" s="1">
        <f t="shared" si="1"/>
        <v>7.0977999999999995E+22</v>
      </c>
      <c r="M15">
        <v>0.01</v>
      </c>
      <c r="N15">
        <v>0.01</v>
      </c>
      <c r="O15">
        <v>35.630000000000003</v>
      </c>
      <c r="P15">
        <v>35.76</v>
      </c>
      <c r="Q15">
        <f t="shared" si="2"/>
        <v>4.0000000000000001E-3</v>
      </c>
      <c r="R15">
        <f t="shared" si="3"/>
        <v>4.0000000000000001E-3</v>
      </c>
      <c r="U15" s="6">
        <f t="shared" si="4"/>
        <v>0</v>
      </c>
      <c r="V15" s="6">
        <f t="shared" si="5"/>
        <v>0</v>
      </c>
      <c r="W15" s="6">
        <f t="shared" si="12"/>
        <v>0</v>
      </c>
      <c r="X15" s="6">
        <f t="shared" si="13"/>
        <v>0</v>
      </c>
      <c r="Y15" s="1">
        <f t="shared" si="6"/>
        <v>2.0265276940376999E+39</v>
      </c>
      <c r="Z15" s="1">
        <f t="shared" si="7"/>
        <v>1.0120098264393229E+33</v>
      </c>
      <c r="AA15" s="1">
        <f t="shared" si="14"/>
        <v>1.6009568782897828E-2</v>
      </c>
      <c r="AB15" s="1">
        <f t="shared" si="15"/>
        <v>7.9948776288706503E-9</v>
      </c>
      <c r="AC15" s="1">
        <f t="shared" si="8"/>
        <v>6.2138710618384897E+40</v>
      </c>
      <c r="AD15">
        <f t="shared" si="9"/>
        <v>2.8376792206884199E+34</v>
      </c>
      <c r="AE15" s="1">
        <f t="shared" si="16"/>
        <v>0.49089581388524067</v>
      </c>
      <c r="AF15" s="1">
        <f t="shared" si="17"/>
        <v>2.2417665843438516E-7</v>
      </c>
      <c r="AG15" s="1">
        <f t="shared" si="10"/>
        <v>4.2657951880159898E+42</v>
      </c>
      <c r="AH15" s="1">
        <f t="shared" si="18"/>
        <v>3.9289425638765407E+40</v>
      </c>
      <c r="AI15" s="1">
        <f t="shared" si="25"/>
        <v>0.14077124120452766</v>
      </c>
      <c r="AJ15" s="1">
        <f t="shared" si="19"/>
        <v>1.2965510460792584E-3</v>
      </c>
      <c r="AK15" s="6" t="e">
        <f t="shared" si="11"/>
        <v>#DIV/0!</v>
      </c>
      <c r="AL15" s="6" t="e">
        <f t="shared" si="20"/>
        <v>#DIV/0!</v>
      </c>
      <c r="AM15" s="1">
        <f>LOG(AI15/AA15)</f>
        <v>0.94413430550575705</v>
      </c>
      <c r="AN15" s="1">
        <f t="shared" si="21"/>
        <v>1.5007797501696949E-3</v>
      </c>
      <c r="AO15" s="1">
        <f>LOG(AI15/AE15)</f>
        <v>-0.54247538879094659</v>
      </c>
      <c r="AP15" s="1">
        <f t="shared" si="22"/>
        <v>1.500779743987581E-3</v>
      </c>
      <c r="AQ15" s="1">
        <f t="shared" si="23"/>
        <v>0.12999999999999545</v>
      </c>
      <c r="AR15" s="1">
        <f t="shared" si="24"/>
        <v>5.6568542494923801E-3</v>
      </c>
    </row>
    <row r="16" spans="1:44" x14ac:dyDescent="0.35">
      <c r="A16" t="s">
        <v>20</v>
      </c>
      <c r="B16">
        <v>7.58</v>
      </c>
      <c r="C16">
        <v>0.69</v>
      </c>
      <c r="D16">
        <v>358</v>
      </c>
      <c r="E16">
        <v>13</v>
      </c>
      <c r="F16">
        <v>7850</v>
      </c>
      <c r="G16">
        <v>120</v>
      </c>
      <c r="H16">
        <v>6.55</v>
      </c>
      <c r="I16">
        <v>0.18</v>
      </c>
      <c r="J16" s="1">
        <f t="shared" si="0"/>
        <v>2.0213300000000001E+23</v>
      </c>
      <c r="K16" s="1">
        <f t="shared" si="1"/>
        <v>5.5547999999999995E+21</v>
      </c>
      <c r="M16">
        <v>0.05</v>
      </c>
      <c r="N16">
        <v>0.04</v>
      </c>
      <c r="O16">
        <v>36.090000000000003</v>
      </c>
      <c r="P16">
        <v>36.07</v>
      </c>
      <c r="Q16">
        <f t="shared" si="2"/>
        <v>2.0000000000000004E-2</v>
      </c>
      <c r="R16">
        <f t="shared" si="3"/>
        <v>1.6E-2</v>
      </c>
      <c r="U16" s="1">
        <f t="shared" si="4"/>
        <v>3.8918268779600479E+37</v>
      </c>
      <c r="V16" s="1">
        <f t="shared" si="5"/>
        <v>4.1383656786141263E+30</v>
      </c>
      <c r="W16" s="1">
        <f t="shared" si="12"/>
        <v>3.0745432335884374E-4</v>
      </c>
      <c r="X16" s="1">
        <f t="shared" si="13"/>
        <v>3.2693088861051595E-11</v>
      </c>
      <c r="Y16" s="1">
        <f t="shared" si="6"/>
        <v>1.8380923777172787E+39</v>
      </c>
      <c r="Z16" s="1">
        <f t="shared" si="7"/>
        <v>1.2108308495347221E+32</v>
      </c>
      <c r="AA16" s="1">
        <f t="shared" si="14"/>
        <v>1.4520929783966501E-2</v>
      </c>
      <c r="AB16" s="1">
        <f t="shared" si="15"/>
        <v>9.5655637113243033E-10</v>
      </c>
      <c r="AC16" s="1">
        <f t="shared" si="8"/>
        <v>4.0304539567264348E+40</v>
      </c>
      <c r="AD16">
        <f t="shared" si="9"/>
        <v>2.2992967499787377E+33</v>
      </c>
      <c r="AE16" s="1">
        <f t="shared" si="16"/>
        <v>0.31840586258138831</v>
      </c>
      <c r="AF16" s="1">
        <f t="shared" si="17"/>
        <v>1.8164444324832029E-8</v>
      </c>
      <c r="AG16" s="1">
        <f t="shared" si="10"/>
        <v>1.2302687708123945E+43</v>
      </c>
      <c r="AH16" s="1">
        <f t="shared" si="18"/>
        <v>5.6655970640974565E+41</v>
      </c>
      <c r="AI16" s="1">
        <f t="shared" si="25"/>
        <v>0.40598869436809021</v>
      </c>
      <c r="AJ16" s="1">
        <f t="shared" si="19"/>
        <v>1.8696470311521607E-2</v>
      </c>
      <c r="AK16" s="1">
        <f t="shared" si="11"/>
        <v>3.1207333354954758</v>
      </c>
      <c r="AL16" s="1">
        <f t="shared" si="20"/>
        <v>1.2743448424474259E-2</v>
      </c>
      <c r="AM16" s="1">
        <f t="shared" si="26"/>
        <v>1.4465195144836549</v>
      </c>
      <c r="AN16" s="1">
        <f t="shared" si="21"/>
        <v>1.2743448424473818E-2</v>
      </c>
      <c r="AO16" s="1">
        <f t="shared" si="27"/>
        <v>0.1055328843822768</v>
      </c>
      <c r="AP16" s="1">
        <f t="shared" si="22"/>
        <v>1.2743448424466616E-2</v>
      </c>
      <c r="AQ16" s="1">
        <f t="shared" si="23"/>
        <v>-2.0000000000003126E-2</v>
      </c>
      <c r="AR16" s="1">
        <f t="shared" si="24"/>
        <v>2.5612496949731396E-2</v>
      </c>
    </row>
    <row r="17" spans="1:44" x14ac:dyDescent="0.35">
      <c r="A17" t="s">
        <v>21</v>
      </c>
      <c r="B17">
        <v>22.1</v>
      </c>
      <c r="C17">
        <v>2</v>
      </c>
      <c r="D17">
        <v>116</v>
      </c>
      <c r="E17">
        <v>26</v>
      </c>
      <c r="F17">
        <v>3070</v>
      </c>
      <c r="G17">
        <v>100</v>
      </c>
      <c r="H17">
        <v>9.3800000000000008</v>
      </c>
      <c r="I17">
        <v>0.35</v>
      </c>
      <c r="J17" s="1">
        <f t="shared" si="0"/>
        <v>2.8946680000000002E+23</v>
      </c>
      <c r="K17" s="1">
        <f t="shared" si="1"/>
        <v>1.0801E+22</v>
      </c>
      <c r="M17">
        <v>0.01</v>
      </c>
      <c r="N17">
        <v>0.01</v>
      </c>
      <c r="O17">
        <v>35.770000000000003</v>
      </c>
      <c r="P17">
        <v>35.9</v>
      </c>
      <c r="Q17">
        <f t="shared" si="2"/>
        <v>4.0000000000000001E-3</v>
      </c>
      <c r="R17">
        <f t="shared" si="3"/>
        <v>4.0000000000000001E-3</v>
      </c>
      <c r="U17" s="1">
        <f t="shared" si="4"/>
        <v>2.3270175459272966E+38</v>
      </c>
      <c r="V17" s="1">
        <f t="shared" si="5"/>
        <v>2.7295637664110512E+31</v>
      </c>
      <c r="W17" s="1">
        <f t="shared" si="12"/>
        <v>1.8383438612825642E-3</v>
      </c>
      <c r="X17" s="1">
        <f t="shared" si="13"/>
        <v>2.1563553754647304E-10</v>
      </c>
      <c r="Y17" s="1">
        <f t="shared" si="6"/>
        <v>1.2214209743328798E+39</v>
      </c>
      <c r="Z17" s="1">
        <f t="shared" si="7"/>
        <v>2.885423993396847E+32</v>
      </c>
      <c r="AA17" s="1">
        <f t="shared" si="14"/>
        <v>9.6492256972297505E-3</v>
      </c>
      <c r="AB17" s="1">
        <f t="shared" si="15"/>
        <v>2.279484954783509E-9</v>
      </c>
      <c r="AC17" s="1">
        <f t="shared" si="8"/>
        <v>3.2325537855189143E+40</v>
      </c>
      <c r="AD17">
        <f t="shared" si="9"/>
        <v>2.6321382169927179E+33</v>
      </c>
      <c r="AE17" s="1">
        <f t="shared" si="16"/>
        <v>0.25537174905599425</v>
      </c>
      <c r="AF17" s="1">
        <f t="shared" si="17"/>
        <v>2.079389191424247E-8</v>
      </c>
      <c r="AG17" s="1">
        <f t="shared" si="10"/>
        <v>5.8884365535559697E+42</v>
      </c>
      <c r="AH17" s="1">
        <f t="shared" si="18"/>
        <v>5.4234504917036844E+40</v>
      </c>
      <c r="AI17" s="1">
        <f t="shared" si="25"/>
        <v>0.194318406267347</v>
      </c>
      <c r="AJ17" s="1">
        <f t="shared" si="19"/>
        <v>1.7897386622622159E-3</v>
      </c>
      <c r="AK17" s="1">
        <f t="shared" si="11"/>
        <v>2.0240871906678573</v>
      </c>
      <c r="AL17" s="1">
        <f t="shared" si="20"/>
        <v>1.7632624592705366E-3</v>
      </c>
      <c r="AM17" s="1">
        <f t="shared" si="26"/>
        <v>1.3040214751260493</v>
      </c>
      <c r="AN17" s="1">
        <f t="shared" si="21"/>
        <v>1.7632624592430887E-3</v>
      </c>
      <c r="AO17" s="1">
        <f t="shared" si="27"/>
        <v>-0.11865891112421868</v>
      </c>
      <c r="AP17" s="1">
        <f t="shared" si="22"/>
        <v>1.7632624591813327E-3</v>
      </c>
      <c r="AQ17" s="1">
        <f t="shared" si="23"/>
        <v>0.12999999999999545</v>
      </c>
      <c r="AR17" s="1">
        <f t="shared" si="24"/>
        <v>5.6568542494923801E-3</v>
      </c>
    </row>
    <row r="18" spans="1:44" x14ac:dyDescent="0.35">
      <c r="A18" t="s">
        <v>22</v>
      </c>
      <c r="B18">
        <v>80.400000000000006</v>
      </c>
      <c r="C18">
        <v>1.5</v>
      </c>
      <c r="D18">
        <v>1227</v>
      </c>
      <c r="E18">
        <v>17</v>
      </c>
      <c r="F18">
        <v>2433</v>
      </c>
      <c r="G18">
        <v>52</v>
      </c>
      <c r="H18">
        <v>14.45</v>
      </c>
      <c r="I18">
        <v>0.27</v>
      </c>
      <c r="J18" s="1">
        <f t="shared" si="0"/>
        <v>4.4592700000000001E+23</v>
      </c>
      <c r="K18" s="1">
        <f t="shared" si="1"/>
        <v>8.3322000000000008E+21</v>
      </c>
      <c r="M18">
        <v>0.01</v>
      </c>
      <c r="N18">
        <v>0.01</v>
      </c>
      <c r="O18">
        <v>35.97</v>
      </c>
      <c r="P18">
        <v>35.909999999999997</v>
      </c>
      <c r="Q18">
        <f t="shared" si="2"/>
        <v>4.0000000000000001E-3</v>
      </c>
      <c r="R18">
        <f t="shared" si="3"/>
        <v>4.0000000000000001E-3</v>
      </c>
      <c r="U18" s="1">
        <f t="shared" si="4"/>
        <v>2.00906251373172E+39</v>
      </c>
      <c r="V18" s="1">
        <f t="shared" si="5"/>
        <v>8.3915539110818649E+31</v>
      </c>
      <c r="W18" s="1">
        <f t="shared" si="12"/>
        <v>1.5871593858480589E-2</v>
      </c>
      <c r="X18" s="1">
        <f t="shared" si="13"/>
        <v>6.6293275897546732E-10</v>
      </c>
      <c r="Y18" s="1">
        <f t="shared" si="6"/>
        <v>3.0660692840159455E+40</v>
      </c>
      <c r="Z18" s="1">
        <f t="shared" si="7"/>
        <v>1.2220100246403757E+33</v>
      </c>
      <c r="AA18" s="1">
        <f t="shared" si="14"/>
        <v>0.24221947343725969</v>
      </c>
      <c r="AB18" s="1">
        <f t="shared" si="15"/>
        <v>9.6538791946589671E-9</v>
      </c>
      <c r="AC18" s="1">
        <f t="shared" si="8"/>
        <v>6.0796630546135243E+40</v>
      </c>
      <c r="AD18">
        <f t="shared" si="9"/>
        <v>2.6173152030375037E+33</v>
      </c>
      <c r="AE18" s="1">
        <f t="shared" si="16"/>
        <v>0.48029338131446841</v>
      </c>
      <c r="AF18" s="1">
        <f t="shared" si="17"/>
        <v>2.067679010399628E-8</v>
      </c>
      <c r="AG18" s="1">
        <f t="shared" si="10"/>
        <v>9.3325430079700194E+42</v>
      </c>
      <c r="AH18" s="1">
        <f t="shared" si="18"/>
        <v>8.5955897639510325E+40</v>
      </c>
      <c r="AI18" s="1">
        <f t="shared" si="25"/>
        <v>0.30797391926301065</v>
      </c>
      <c r="AJ18" s="1">
        <f t="shared" si="19"/>
        <v>2.836544622103841E-3</v>
      </c>
      <c r="AK18" s="1">
        <f t="shared" si="11"/>
        <v>1.2878933981775114</v>
      </c>
      <c r="AL18" s="1">
        <f t="shared" si="20"/>
        <v>2.2198159176388811E-3</v>
      </c>
      <c r="AM18" s="1">
        <f t="shared" si="26"/>
        <v>0.10430488419895838</v>
      </c>
      <c r="AN18" s="1">
        <f t="shared" si="21"/>
        <v>2.2198159176237114E-3</v>
      </c>
      <c r="AO18" s="1">
        <f t="shared" si="27"/>
        <v>-0.19299266200485585</v>
      </c>
      <c r="AP18" s="1">
        <f t="shared" si="22"/>
        <v>2.2198159176022411E-3</v>
      </c>
      <c r="AQ18" s="1">
        <f t="shared" si="23"/>
        <v>-6.0000000000002274E-2</v>
      </c>
      <c r="AR18" s="1">
        <f t="shared" si="24"/>
        <v>5.6568542494923801E-3</v>
      </c>
    </row>
    <row r="19" spans="1:44" x14ac:dyDescent="0.35">
      <c r="A19" t="s">
        <v>23</v>
      </c>
      <c r="B19">
        <v>5.31</v>
      </c>
      <c r="C19">
        <v>0.28000000000000003</v>
      </c>
      <c r="D19">
        <v>211.5</v>
      </c>
      <c r="E19">
        <v>9.3000000000000007</v>
      </c>
      <c r="F19">
        <v>4817</v>
      </c>
      <c r="G19">
        <v>91</v>
      </c>
      <c r="H19">
        <v>10.3</v>
      </c>
      <c r="I19">
        <v>2.2999999999999998</v>
      </c>
      <c r="J19" s="1">
        <f t="shared" si="0"/>
        <v>3.1785800000000005E+23</v>
      </c>
      <c r="K19" s="1">
        <f t="shared" si="1"/>
        <v>7.0977999999999995E+22</v>
      </c>
      <c r="M19">
        <v>0.01</v>
      </c>
      <c r="N19">
        <v>0.01</v>
      </c>
      <c r="O19">
        <v>36.57</v>
      </c>
      <c r="P19">
        <v>36.47</v>
      </c>
      <c r="Q19">
        <f t="shared" si="2"/>
        <v>4.0000000000000001E-3</v>
      </c>
      <c r="R19">
        <f t="shared" si="3"/>
        <v>4.0000000000000001E-3</v>
      </c>
      <c r="U19" s="1">
        <f t="shared" si="4"/>
        <v>6.7417194832720188E+37</v>
      </c>
      <c r="V19" s="1">
        <f t="shared" si="5"/>
        <v>3.0317792164983523E+31</v>
      </c>
      <c r="W19" s="1">
        <f t="shared" si="12"/>
        <v>5.3259583917848947E-4</v>
      </c>
      <c r="X19" s="1">
        <f t="shared" si="13"/>
        <v>2.3951055810336982E-10</v>
      </c>
      <c r="Y19" s="1">
        <f t="shared" si="6"/>
        <v>2.6852611501168212E+39</v>
      </c>
      <c r="Z19" s="1">
        <f t="shared" si="7"/>
        <v>1.2050415668355258E+33</v>
      </c>
      <c r="AA19" s="1">
        <f t="shared" si="14"/>
        <v>2.1213563085922888E-2</v>
      </c>
      <c r="AB19" s="1">
        <f t="shared" si="15"/>
        <v>9.5198283780006536E-9</v>
      </c>
      <c r="AC19" s="1">
        <f t="shared" si="8"/>
        <v>6.1157933617554259E+40</v>
      </c>
      <c r="AD19">
        <f t="shared" si="9"/>
        <v>2.7337677074317115E+34</v>
      </c>
      <c r="AE19" s="1">
        <f t="shared" si="16"/>
        <v>0.4831476755786786</v>
      </c>
      <c r="AF19" s="1">
        <f t="shared" si="17"/>
        <v>2.1596764888710519E-7</v>
      </c>
      <c r="AG19" s="1">
        <f t="shared" si="10"/>
        <v>3.7153522909717475E+43</v>
      </c>
      <c r="AH19" s="1">
        <f t="shared" si="18"/>
        <v>3.4219659201651289E+41</v>
      </c>
      <c r="AI19" s="1">
        <f t="shared" si="25"/>
        <v>1.2260662560206768</v>
      </c>
      <c r="AJ19" s="1">
        <f t="shared" si="19"/>
        <v>1.1292487536544925E-2</v>
      </c>
      <c r="AK19" s="1">
        <f t="shared" si="11"/>
        <v>3.3621161706192799</v>
      </c>
      <c r="AL19" s="1">
        <f t="shared" si="20"/>
        <v>4.4291150466329622E-3</v>
      </c>
      <c r="AM19" s="1">
        <f t="shared" si="26"/>
        <v>1.7619003199896879</v>
      </c>
      <c r="AN19" s="1">
        <f t="shared" si="21"/>
        <v>4.4291150465442927E-3</v>
      </c>
      <c r="AO19" s="1">
        <f t="shared" si="27"/>
        <v>0.40443404538631506</v>
      </c>
      <c r="AP19" s="1">
        <f t="shared" si="22"/>
        <v>4.4291150445797478E-3</v>
      </c>
      <c r="AQ19" s="1">
        <f t="shared" si="23"/>
        <v>-0.10000000000000142</v>
      </c>
      <c r="AR19" s="1">
        <f t="shared" si="24"/>
        <v>5.6568542494923801E-3</v>
      </c>
    </row>
    <row r="20" spans="1:44" x14ac:dyDescent="0.35">
      <c r="A20" t="s">
        <v>24</v>
      </c>
      <c r="B20">
        <v>116.5</v>
      </c>
      <c r="C20">
        <v>5.4</v>
      </c>
      <c r="D20">
        <v>483</v>
      </c>
      <c r="E20">
        <v>27</v>
      </c>
      <c r="F20">
        <v>764</v>
      </c>
      <c r="G20">
        <v>64</v>
      </c>
      <c r="H20">
        <v>16.5</v>
      </c>
      <c r="I20">
        <v>0.6</v>
      </c>
      <c r="J20" s="1">
        <f t="shared" si="0"/>
        <v>5.0918999999999999E+23</v>
      </c>
      <c r="K20" s="1">
        <f t="shared" si="1"/>
        <v>1.8515999999999999E+22</v>
      </c>
      <c r="M20">
        <v>0.01</v>
      </c>
      <c r="N20">
        <v>0.01</v>
      </c>
      <c r="O20">
        <v>35.61</v>
      </c>
      <c r="P20">
        <v>35.950000000000003</v>
      </c>
      <c r="Q20">
        <f t="shared" si="2"/>
        <v>4.0000000000000001E-3</v>
      </c>
      <c r="R20">
        <f t="shared" si="3"/>
        <v>4.0000000000000001E-3</v>
      </c>
      <c r="U20" s="1">
        <f t="shared" si="4"/>
        <v>3.7957318257101827E+39</v>
      </c>
      <c r="V20" s="1">
        <f t="shared" si="5"/>
        <v>3.2735315837413524E+32</v>
      </c>
      <c r="W20" s="1">
        <f t="shared" si="12"/>
        <v>2.9986281423110443E-2</v>
      </c>
      <c r="X20" s="1">
        <f t="shared" si="13"/>
        <v>2.5860899511556682E-9</v>
      </c>
      <c r="Y20" s="1">
        <f t="shared" si="6"/>
        <v>1.5736810916892859E+40</v>
      </c>
      <c r="Z20" s="1">
        <f t="shared" si="7"/>
        <v>1.4435155979955807E+33</v>
      </c>
      <c r="AA20" s="1">
        <f t="shared" si="14"/>
        <v>0.12432080624345358</v>
      </c>
      <c r="AB20" s="1">
        <f t="shared" si="15"/>
        <v>1.1403773224165087E-8</v>
      </c>
      <c r="AC20" s="1">
        <f t="shared" si="8"/>
        <v>2.4892181243283941E+40</v>
      </c>
      <c r="AD20">
        <f t="shared" si="9"/>
        <v>2.7614178814644746E+33</v>
      </c>
      <c r="AE20" s="1">
        <f t="shared" si="16"/>
        <v>0.19664823182194313</v>
      </c>
      <c r="AF20" s="1">
        <f t="shared" si="17"/>
        <v>2.1815201263569348E-8</v>
      </c>
      <c r="AG20" s="1">
        <f t="shared" si="10"/>
        <v>4.0738027780411312E+42</v>
      </c>
      <c r="AH20" s="1">
        <f t="shared" si="18"/>
        <v>3.7521110194060965E+40</v>
      </c>
      <c r="AI20" s="1">
        <f t="shared" si="25"/>
        <v>0.13443549167535734</v>
      </c>
      <c r="AJ20" s="1">
        <f t="shared" si="19"/>
        <v>1.238196636404012E-3</v>
      </c>
      <c r="AK20" s="1">
        <f t="shared" si="11"/>
        <v>0.65159132732124092</v>
      </c>
      <c r="AL20" s="1">
        <f t="shared" si="20"/>
        <v>1.4666178325534063E-3</v>
      </c>
      <c r="AM20" s="1">
        <f t="shared" si="26"/>
        <v>3.3970121931766566E-2</v>
      </c>
      <c r="AN20" s="1">
        <f t="shared" si="21"/>
        <v>1.4666178325004847E-3</v>
      </c>
      <c r="AO20" s="1">
        <f t="shared" si="27"/>
        <v>-0.16517610589241116</v>
      </c>
      <c r="AP20" s="1">
        <f t="shared" si="22"/>
        <v>1.4666178324121331E-3</v>
      </c>
      <c r="AQ20" s="1">
        <f t="shared" si="23"/>
        <v>0.34000000000000341</v>
      </c>
      <c r="AR20" s="1">
        <f t="shared" si="24"/>
        <v>5.6568542494923801E-3</v>
      </c>
    </row>
    <row r="21" spans="1:44" x14ac:dyDescent="0.35">
      <c r="A21" t="s">
        <v>25</v>
      </c>
      <c r="B21">
        <v>2.4700000000000002</v>
      </c>
      <c r="C21">
        <v>0.39</v>
      </c>
      <c r="D21">
        <v>186.7</v>
      </c>
      <c r="E21">
        <v>6.4</v>
      </c>
      <c r="F21">
        <v>634</v>
      </c>
      <c r="G21">
        <v>27</v>
      </c>
      <c r="H21">
        <v>9.1999999999999993</v>
      </c>
      <c r="I21">
        <v>2.2999999999999998</v>
      </c>
      <c r="J21" s="1">
        <f t="shared" si="0"/>
        <v>2.8391199999999998E+23</v>
      </c>
      <c r="K21" s="1">
        <f t="shared" si="1"/>
        <v>7.0977999999999995E+22</v>
      </c>
      <c r="M21">
        <v>0.01</v>
      </c>
      <c r="N21">
        <v>0.01</v>
      </c>
      <c r="O21">
        <v>35.11</v>
      </c>
      <c r="P21">
        <v>35.049999999999997</v>
      </c>
      <c r="Q21">
        <f t="shared" si="2"/>
        <v>4.0000000000000001E-3</v>
      </c>
      <c r="R21">
        <f t="shared" si="3"/>
        <v>4.0000000000000001E-3</v>
      </c>
      <c r="S21" t="s">
        <v>26</v>
      </c>
      <c r="U21" s="1">
        <f t="shared" si="4"/>
        <v>2.5019251652488398E+37</v>
      </c>
      <c r="V21" s="1">
        <f t="shared" si="5"/>
        <v>1.311855414704341E+31</v>
      </c>
      <c r="W21" s="1">
        <f t="shared" si="12"/>
        <v>1.9765208805465833E-4</v>
      </c>
      <c r="X21" s="1">
        <f t="shared" si="13"/>
        <v>1.0363657776164294E-10</v>
      </c>
      <c r="Y21" s="1">
        <f t="shared" si="6"/>
        <v>1.8911312888743257E+39</v>
      </c>
      <c r="Z21" s="1">
        <f t="shared" si="7"/>
        <v>9.4778528960662886E+32</v>
      </c>
      <c r="AA21" s="1">
        <f t="shared" si="14"/>
        <v>1.4939937182107173E-2</v>
      </c>
      <c r="AB21" s="1">
        <f t="shared" si="15"/>
        <v>7.4875037878923684E-9</v>
      </c>
      <c r="AC21" s="1">
        <f t="shared" si="8"/>
        <v>6.4219455658613942E+39</v>
      </c>
      <c r="AD21">
        <f t="shared" si="9"/>
        <v>3.2225987775249082E+33</v>
      </c>
      <c r="AE21" s="1">
        <f t="shared" si="16"/>
        <v>5.073336997030501E-2</v>
      </c>
      <c r="AF21" s="1">
        <f t="shared" si="17"/>
        <v>2.5458530342446774E-8</v>
      </c>
      <c r="AG21" s="1">
        <f t="shared" si="10"/>
        <v>1.2882495516931412E+42</v>
      </c>
      <c r="AH21" s="1">
        <f t="shared" si="18"/>
        <v>1.1865216855139558E+40</v>
      </c>
      <c r="AI21" s="1">
        <f t="shared" si="25"/>
        <v>4.2512235205873661E-2</v>
      </c>
      <c r="AJ21" s="1">
        <f t="shared" si="19"/>
        <v>3.9155215621960543E-4</v>
      </c>
      <c r="AK21" s="1">
        <f t="shared" si="11"/>
        <v>2.3326125331603174</v>
      </c>
      <c r="AL21" s="1">
        <f t="shared" si="20"/>
        <v>8.2473981550773286E-4</v>
      </c>
      <c r="AM21" s="1">
        <f t="shared" si="26"/>
        <v>0.45416516847090449</v>
      </c>
      <c r="AN21" s="1">
        <f t="shared" si="21"/>
        <v>8.247398150848578E-4</v>
      </c>
      <c r="AO21" s="1">
        <f t="shared" si="27"/>
        <v>-7.6779771461749746E-2</v>
      </c>
      <c r="AP21" s="1">
        <f t="shared" si="22"/>
        <v>8.247398140531335E-4</v>
      </c>
      <c r="AQ21" s="1">
        <f t="shared" si="23"/>
        <v>-6.0000000000002274E-2</v>
      </c>
      <c r="AR21" s="1">
        <f t="shared" si="24"/>
        <v>5.6568542494923801E-3</v>
      </c>
    </row>
    <row r="22" spans="1:44" x14ac:dyDescent="0.35">
      <c r="A22" t="s">
        <v>41</v>
      </c>
      <c r="B22" s="5"/>
      <c r="C22" s="5"/>
      <c r="D22">
        <v>290.89999999999998</v>
      </c>
      <c r="E22">
        <v>8.1999999999999993</v>
      </c>
      <c r="F22">
        <v>11380</v>
      </c>
      <c r="G22">
        <v>160</v>
      </c>
      <c r="H22">
        <v>7.62</v>
      </c>
      <c r="I22">
        <v>0.14000000000000001</v>
      </c>
      <c r="J22" s="1">
        <f t="shared" si="0"/>
        <v>2.3515320000000002E+23</v>
      </c>
      <c r="K22" s="1">
        <f t="shared" si="1"/>
        <v>4.3204000000000005E+21</v>
      </c>
      <c r="M22">
        <v>0.01</v>
      </c>
      <c r="N22">
        <v>0.01</v>
      </c>
      <c r="O22">
        <v>36.19</v>
      </c>
      <c r="P22">
        <v>36.130000000000003</v>
      </c>
      <c r="Q22">
        <f t="shared" si="2"/>
        <v>4.0000000000000001E-3</v>
      </c>
      <c r="R22">
        <f t="shared" si="3"/>
        <v>4.0000000000000001E-3</v>
      </c>
      <c r="U22" s="6">
        <f t="shared" si="4"/>
        <v>0</v>
      </c>
      <c r="V22" s="6">
        <f t="shared" si="5"/>
        <v>0</v>
      </c>
      <c r="W22" s="6">
        <f t="shared" si="12"/>
        <v>0</v>
      </c>
      <c r="X22" s="6">
        <f t="shared" si="13"/>
        <v>0</v>
      </c>
      <c r="Y22" s="1">
        <f t="shared" si="6"/>
        <v>2.021414475553535E+39</v>
      </c>
      <c r="Z22" s="1">
        <f t="shared" si="7"/>
        <v>9.3615930418290504E+31</v>
      </c>
      <c r="AA22" s="1">
        <f t="shared" si="14"/>
        <v>1.5969174356872926E-2</v>
      </c>
      <c r="AB22" s="1">
        <f t="shared" si="15"/>
        <v>7.3956585030449499E-10</v>
      </c>
      <c r="AC22" s="1">
        <f t="shared" si="8"/>
        <v>7.9077678693019018E+40</v>
      </c>
      <c r="AD22">
        <f t="shared" si="9"/>
        <v>3.1111832167094223E+33</v>
      </c>
      <c r="AE22" s="1">
        <f t="shared" si="16"/>
        <v>0.62471366167485021</v>
      </c>
      <c r="AF22" s="1">
        <f t="shared" si="17"/>
        <v>2.4578347412004434E-8</v>
      </c>
      <c r="AG22" s="1">
        <f t="shared" si="10"/>
        <v>1.5488166189124962E+43</v>
      </c>
      <c r="AH22" s="1">
        <f t="shared" si="18"/>
        <v>1.4265128233957414E+41</v>
      </c>
      <c r="AI22" s="1">
        <f t="shared" si="25"/>
        <v>0.51110948424112379</v>
      </c>
      <c r="AJ22" s="1">
        <f t="shared" si="19"/>
        <v>4.707492317205947E-3</v>
      </c>
      <c r="AK22" s="6" t="e">
        <f t="shared" si="11"/>
        <v>#DIV/0!</v>
      </c>
      <c r="AL22" s="6" t="e">
        <f t="shared" si="20"/>
        <v>#DIV/0!</v>
      </c>
      <c r="AM22" s="1">
        <f>LOG(AI22/AA22)</f>
        <v>1.505231477184835</v>
      </c>
      <c r="AN22" s="1">
        <f t="shared" si="21"/>
        <v>2.8596768607399539E-3</v>
      </c>
      <c r="AO22" s="1">
        <f>LOG(AI22/AE22)</f>
        <v>-8.71670636271583E-2</v>
      </c>
      <c r="AP22" s="1">
        <f t="shared" si="22"/>
        <v>2.8596768607091943E-3</v>
      </c>
      <c r="AQ22" s="1">
        <f t="shared" si="23"/>
        <v>-5.9999999999995168E-2</v>
      </c>
      <c r="AR22" s="1">
        <f t="shared" si="24"/>
        <v>5.6568542494923801E-3</v>
      </c>
    </row>
    <row r="23" spans="1:44" x14ac:dyDescent="0.35">
      <c r="A23" t="s">
        <v>27</v>
      </c>
      <c r="B23">
        <v>19</v>
      </c>
      <c r="C23">
        <v>14</v>
      </c>
      <c r="D23" s="5"/>
      <c r="E23" s="5"/>
      <c r="F23">
        <v>9640</v>
      </c>
      <c r="G23">
        <v>350</v>
      </c>
      <c r="H23">
        <v>5.2</v>
      </c>
      <c r="I23">
        <v>0.43</v>
      </c>
      <c r="J23" s="1">
        <f t="shared" si="0"/>
        <v>1.6047200000000003E+23</v>
      </c>
      <c r="K23" s="1">
        <f t="shared" si="1"/>
        <v>1.32698E+22</v>
      </c>
      <c r="M23">
        <v>0.01</v>
      </c>
      <c r="N23">
        <v>0.01</v>
      </c>
      <c r="O23">
        <v>35.630000000000003</v>
      </c>
      <c r="P23">
        <v>35.590000000000003</v>
      </c>
      <c r="Q23">
        <f t="shared" si="2"/>
        <v>4.0000000000000001E-3</v>
      </c>
      <c r="R23">
        <f t="shared" si="3"/>
        <v>4.0000000000000001E-3</v>
      </c>
      <c r="U23" s="1">
        <f t="shared" si="4"/>
        <v>6.1483983266984757E+37</v>
      </c>
      <c r="V23" s="1">
        <f t="shared" si="5"/>
        <v>4.6431129549568975E+31</v>
      </c>
      <c r="W23" s="1">
        <f t="shared" si="12"/>
        <v>4.8572346780917955E-4</v>
      </c>
      <c r="X23" s="1">
        <f t="shared" si="13"/>
        <v>3.6680592344159487E-10</v>
      </c>
      <c r="Y23" s="6">
        <f t="shared" si="6"/>
        <v>0</v>
      </c>
      <c r="Z23" s="6">
        <f t="shared" si="7"/>
        <v>0</v>
      </c>
      <c r="AA23" s="6">
        <f t="shared" si="14"/>
        <v>0</v>
      </c>
      <c r="AB23" s="6">
        <f t="shared" si="15"/>
        <v>0</v>
      </c>
      <c r="AC23" s="1">
        <f t="shared" si="8"/>
        <v>3.1195031510196475E+40</v>
      </c>
      <c r="AD23">
        <f t="shared" si="9"/>
        <v>5.2820358453408466E+33</v>
      </c>
      <c r="AE23" s="1">
        <f t="shared" si="16"/>
        <v>0.24644074893055215</v>
      </c>
      <c r="AF23" s="1">
        <f t="shared" si="17"/>
        <v>4.1728083178192688E-8</v>
      </c>
      <c r="AG23" s="1">
        <f t="shared" si="10"/>
        <v>4.2657951880159898E+42</v>
      </c>
      <c r="AH23" s="1">
        <f t="shared" si="18"/>
        <v>3.9289425638765407E+40</v>
      </c>
      <c r="AI23" s="1">
        <f t="shared" si="25"/>
        <v>0.14077124120452766</v>
      </c>
      <c r="AJ23" s="1">
        <f t="shared" si="19"/>
        <v>1.2965510460792584E-3</v>
      </c>
      <c r="AK23" s="1">
        <f t="shared" si="11"/>
        <v>2.4621248528886697</v>
      </c>
      <c r="AL23" s="1">
        <f t="shared" si="20"/>
        <v>1.5007797504031685E-3</v>
      </c>
      <c r="AM23" s="6" t="e">
        <f t="shared" si="26"/>
        <v>#DIV/0!</v>
      </c>
      <c r="AN23" s="6" t="e">
        <f t="shared" si="21"/>
        <v>#DIV/0!</v>
      </c>
      <c r="AO23" s="1">
        <f t="shared" si="27"/>
        <v>-0.24319858006133194</v>
      </c>
      <c r="AP23" s="1">
        <f t="shared" si="22"/>
        <v>1.5007797499765922E-3</v>
      </c>
      <c r="AQ23" s="1">
        <f t="shared" si="23"/>
        <v>-3.9999999999999147E-2</v>
      </c>
      <c r="AR23" s="1">
        <f t="shared" si="24"/>
        <v>5.6568542494923801E-3</v>
      </c>
    </row>
    <row r="24" spans="1:44" x14ac:dyDescent="0.35">
      <c r="A24" t="s">
        <v>28</v>
      </c>
      <c r="B24">
        <v>5.4</v>
      </c>
      <c r="C24">
        <v>1.7</v>
      </c>
      <c r="D24">
        <v>193</v>
      </c>
      <c r="E24">
        <v>18</v>
      </c>
      <c r="F24">
        <v>4840</v>
      </c>
      <c r="G24">
        <v>950</v>
      </c>
      <c r="H24">
        <v>7.8</v>
      </c>
      <c r="I24">
        <v>2.2999999999999998</v>
      </c>
      <c r="J24" s="1">
        <f t="shared" si="0"/>
        <v>2.4070799999999999E+23</v>
      </c>
      <c r="K24" s="1">
        <f t="shared" si="1"/>
        <v>7.0977999999999995E+22</v>
      </c>
      <c r="M24">
        <v>0.01</v>
      </c>
      <c r="N24">
        <v>0.01</v>
      </c>
      <c r="O24">
        <v>35.799999999999997</v>
      </c>
      <c r="P24">
        <v>35.83</v>
      </c>
      <c r="Q24">
        <f t="shared" si="2"/>
        <v>4.0000000000000001E-3</v>
      </c>
      <c r="R24">
        <f t="shared" si="3"/>
        <v>4.0000000000000001E-3</v>
      </c>
      <c r="U24" s="1">
        <f t="shared" si="4"/>
        <v>3.931738929967707E+37</v>
      </c>
      <c r="V24" s="1">
        <f t="shared" si="5"/>
        <v>2.6284075248017531E+31</v>
      </c>
      <c r="W24" s="1">
        <f t="shared" si="12"/>
        <v>3.1060737546744882E-4</v>
      </c>
      <c r="X24" s="1">
        <f t="shared" si="13"/>
        <v>2.0764419445933848E-10</v>
      </c>
      <c r="Y24" s="1">
        <f t="shared" si="6"/>
        <v>1.4052326175625324E+39</v>
      </c>
      <c r="Z24" s="1">
        <f t="shared" si="7"/>
        <v>8.3902593029929281E+32</v>
      </c>
      <c r="AA24" s="1">
        <f t="shared" si="14"/>
        <v>1.1101337678744005E-2</v>
      </c>
      <c r="AB24" s="1">
        <f t="shared" si="15"/>
        <v>6.6283048493644129E-9</v>
      </c>
      <c r="AC24" s="1">
        <f t="shared" si="8"/>
        <v>3.5240030409340189E+40</v>
      </c>
      <c r="AD24">
        <f t="shared" si="9"/>
        <v>2.1903421818412029E+34</v>
      </c>
      <c r="AE24" s="1">
        <f t="shared" si="16"/>
        <v>0.27839624023378751</v>
      </c>
      <c r="AF24" s="1">
        <f t="shared" si="17"/>
        <v>1.7303703236545501E-7</v>
      </c>
      <c r="AG24" s="1">
        <f t="shared" si="10"/>
        <v>6.3095734448019262E+42</v>
      </c>
      <c r="AH24" s="1">
        <f t="shared" si="18"/>
        <v>5.8113319028608023E+40</v>
      </c>
      <c r="AI24" s="1">
        <f t="shared" si="25"/>
        <v>0.20821592367846356</v>
      </c>
      <c r="AJ24" s="1">
        <f t="shared" si="19"/>
        <v>1.9177395279440649E-3</v>
      </c>
      <c r="AK24" s="1">
        <f t="shared" si="11"/>
        <v>2.8263021759071614</v>
      </c>
      <c r="AL24" s="1">
        <f t="shared" si="20"/>
        <v>1.8252273225078666E-3</v>
      </c>
      <c r="AM24" s="1">
        <f t="shared" si="26"/>
        <v>1.2731386267223559</v>
      </c>
      <c r="AN24" s="1">
        <f t="shared" si="21"/>
        <v>1.8252273223105585E-3</v>
      </c>
      <c r="AO24" s="1">
        <f t="shared" si="27"/>
        <v>-0.12614942591428277</v>
      </c>
      <c r="AP24" s="1">
        <f t="shared" si="22"/>
        <v>1.8252273169580896E-3</v>
      </c>
      <c r="AQ24" s="1">
        <f t="shared" si="23"/>
        <v>3.0000000000001137E-2</v>
      </c>
      <c r="AR24" s="1">
        <f t="shared" si="24"/>
        <v>5.6568542494923801E-3</v>
      </c>
    </row>
    <row r="25" spans="1:44" x14ac:dyDescent="0.35">
      <c r="A25" t="s">
        <v>29</v>
      </c>
      <c r="B25">
        <v>64.3</v>
      </c>
      <c r="C25">
        <v>1</v>
      </c>
      <c r="D25">
        <v>765.8</v>
      </c>
      <c r="E25">
        <v>8.4</v>
      </c>
      <c r="F25">
        <v>2852</v>
      </c>
      <c r="G25">
        <v>29</v>
      </c>
      <c r="H25">
        <v>29.4</v>
      </c>
      <c r="I25">
        <v>2.2999999999999998</v>
      </c>
      <c r="J25" s="1">
        <f t="shared" si="0"/>
        <v>9.0728399999999994E+23</v>
      </c>
      <c r="K25" s="1">
        <f t="shared" si="1"/>
        <v>7.0977999999999995E+22</v>
      </c>
      <c r="M25">
        <v>0.01</v>
      </c>
      <c r="N25">
        <v>0.01</v>
      </c>
      <c r="O25">
        <v>35.950000000000003</v>
      </c>
      <c r="P25">
        <v>36.06</v>
      </c>
      <c r="Q25">
        <f t="shared" si="2"/>
        <v>4.0000000000000001E-3</v>
      </c>
      <c r="R25">
        <f t="shared" si="3"/>
        <v>4.0000000000000001E-3</v>
      </c>
      <c r="U25" s="1">
        <f t="shared" si="4"/>
        <v>6.6513123217818701E+39</v>
      </c>
      <c r="V25" s="1">
        <f t="shared" si="5"/>
        <v>1.0458098518593531E+33</v>
      </c>
      <c r="W25" s="1">
        <f t="shared" si="12"/>
        <v>5.2545367342076772E-2</v>
      </c>
      <c r="X25" s="1">
        <f t="shared" si="13"/>
        <v>8.2618978296888889E-9</v>
      </c>
      <c r="Y25" s="1">
        <f t="shared" si="6"/>
        <v>7.9215785008095754E+40</v>
      </c>
      <c r="Z25" s="1">
        <f t="shared" si="7"/>
        <v>1.2424727004552876E+34</v>
      </c>
      <c r="AA25" s="1">
        <f t="shared" si="14"/>
        <v>0.6258047015639564</v>
      </c>
      <c r="AB25" s="1">
        <f t="shared" si="15"/>
        <v>9.8155343335967725E-8</v>
      </c>
      <c r="AC25" s="1">
        <f t="shared" si="8"/>
        <v>2.9501621682304664E+41</v>
      </c>
      <c r="AD25">
        <f t="shared" si="9"/>
        <v>4.6256374246421492E+34</v>
      </c>
      <c r="AE25" s="1">
        <f t="shared" si="16"/>
        <v>2.3306281129020685</v>
      </c>
      <c r="AF25" s="1">
        <f t="shared" si="17"/>
        <v>3.6542535654672975E-7</v>
      </c>
      <c r="AG25" s="1">
        <f t="shared" si="10"/>
        <v>8.9125093813375607E+42</v>
      </c>
      <c r="AH25" s="1">
        <f t="shared" si="18"/>
        <v>8.208724497054982E+40</v>
      </c>
      <c r="AI25" s="1">
        <f t="shared" si="25"/>
        <v>0.29411280958413949</v>
      </c>
      <c r="AJ25" s="1">
        <f t="shared" si="19"/>
        <v>2.7088790840281442E-3</v>
      </c>
      <c r="AK25" s="1">
        <f t="shared" si="11"/>
        <v>0.74797950736255947</v>
      </c>
      <c r="AL25" s="1">
        <f t="shared" si="20"/>
        <v>2.1692867383315689E-3</v>
      </c>
      <c r="AM25" s="1">
        <f t="shared" si="26"/>
        <v>-0.32792488172488732</v>
      </c>
      <c r="AN25" s="1">
        <f t="shared" si="21"/>
        <v>2.1692867377187583E-3</v>
      </c>
      <c r="AO25" s="1">
        <f t="shared" si="27"/>
        <v>-0.89895904089304657</v>
      </c>
      <c r="AP25" s="1">
        <f t="shared" si="22"/>
        <v>2.1692867358972016E-3</v>
      </c>
      <c r="AQ25" s="1">
        <f t="shared" si="23"/>
        <v>0.10999999999999943</v>
      </c>
      <c r="AR25" s="1">
        <f t="shared" si="24"/>
        <v>5.6568542494923801E-3</v>
      </c>
    </row>
    <row r="26" spans="1:44" x14ac:dyDescent="0.35">
      <c r="A26" t="s">
        <v>30</v>
      </c>
      <c r="B26">
        <v>11.9</v>
      </c>
      <c r="C26">
        <v>3.8</v>
      </c>
      <c r="D26">
        <v>277</v>
      </c>
      <c r="E26">
        <v>48</v>
      </c>
      <c r="F26">
        <v>2160</v>
      </c>
      <c r="G26">
        <v>100</v>
      </c>
      <c r="H26">
        <v>14.52</v>
      </c>
      <c r="I26">
        <v>0.6</v>
      </c>
      <c r="J26" s="1">
        <f t="shared" si="0"/>
        <v>4.4808720000000003E+23</v>
      </c>
      <c r="K26" s="1">
        <f t="shared" si="1"/>
        <v>1.8515999999999999E+22</v>
      </c>
      <c r="M26">
        <v>0.01</v>
      </c>
      <c r="N26">
        <v>0.01</v>
      </c>
      <c r="O26">
        <v>35.909999999999997</v>
      </c>
      <c r="P26">
        <v>36.01</v>
      </c>
      <c r="Q26">
        <f t="shared" si="2"/>
        <v>4.0000000000000001E-3</v>
      </c>
      <c r="R26">
        <f t="shared" si="3"/>
        <v>4.0000000000000001E-3</v>
      </c>
      <c r="U26" s="1">
        <f t="shared" si="4"/>
        <v>3.0024922950537852E+38</v>
      </c>
      <c r="V26" s="1">
        <f t="shared" si="5"/>
        <v>9.9036895176157522E+31</v>
      </c>
      <c r="W26" s="1">
        <f t="shared" si="12"/>
        <v>2.3719689130924904E-3</v>
      </c>
      <c r="X26" s="1">
        <f t="shared" si="13"/>
        <v>7.8239147189164435E-10</v>
      </c>
      <c r="Y26" s="1">
        <f t="shared" si="6"/>
        <v>6.9889946699991459E+39</v>
      </c>
      <c r="Z26" s="1">
        <f t="shared" si="7"/>
        <v>1.3417758505218691E+33</v>
      </c>
      <c r="AA26" s="1">
        <f t="shared" si="14"/>
        <v>5.5213057892993252E-2</v>
      </c>
      <c r="AB26" s="1">
        <f t="shared" si="15"/>
        <v>1.0600029219122765E-8</v>
      </c>
      <c r="AC26" s="1">
        <f t="shared" si="8"/>
        <v>5.449901980937962E+40</v>
      </c>
      <c r="AD26">
        <f t="shared" si="9"/>
        <v>5.1626083533765493E+33</v>
      </c>
      <c r="AE26" s="1">
        <f t="shared" si="16"/>
        <v>0.430542256494099</v>
      </c>
      <c r="AF26" s="1">
        <f t="shared" si="17"/>
        <v>4.0784605991674736E-8</v>
      </c>
      <c r="AG26" s="1">
        <f t="shared" si="10"/>
        <v>8.1283051616409768E+42</v>
      </c>
      <c r="AH26" s="1">
        <f t="shared" si="18"/>
        <v>7.4864457186004291E+40</v>
      </c>
      <c r="AI26" s="1">
        <f t="shared" si="25"/>
        <v>0.26823407033415225</v>
      </c>
      <c r="AJ26" s="1">
        <f t="shared" si="19"/>
        <v>2.4705270871381415E-3</v>
      </c>
      <c r="AK26" s="1">
        <f t="shared" si="11"/>
        <v>2.0534049469904092</v>
      </c>
      <c r="AL26" s="1">
        <f t="shared" si="20"/>
        <v>2.0716527521034405E-3</v>
      </c>
      <c r="AM26" s="1">
        <f t="shared" si="26"/>
        <v>0.6864721393184916</v>
      </c>
      <c r="AN26" s="1">
        <f t="shared" si="21"/>
        <v>2.0716527520225495E-3</v>
      </c>
      <c r="AO26" s="1">
        <f t="shared" si="27"/>
        <v>-0.20550184276799074</v>
      </c>
      <c r="AP26" s="1">
        <f t="shared" si="22"/>
        <v>2.0716527519393157E-3</v>
      </c>
      <c r="AQ26" s="1">
        <f t="shared" si="23"/>
        <v>0.10000000000000142</v>
      </c>
      <c r="AR26" s="1">
        <f t="shared" si="24"/>
        <v>5.6568542494923801E-3</v>
      </c>
    </row>
    <row r="27" spans="1:44" x14ac:dyDescent="0.35">
      <c r="A27" t="s">
        <v>31</v>
      </c>
      <c r="B27">
        <v>17.100000000000001</v>
      </c>
      <c r="C27">
        <v>1</v>
      </c>
      <c r="D27">
        <v>390</v>
      </c>
      <c r="E27">
        <v>12</v>
      </c>
      <c r="F27">
        <v>3520</v>
      </c>
      <c r="G27">
        <v>170</v>
      </c>
      <c r="H27">
        <v>3.91</v>
      </c>
      <c r="I27">
        <v>0.43</v>
      </c>
      <c r="J27" s="1">
        <f t="shared" si="0"/>
        <v>1.206626E+23</v>
      </c>
      <c r="K27" s="1">
        <f t="shared" si="1"/>
        <v>1.32698E+22</v>
      </c>
      <c r="M27">
        <v>0.01</v>
      </c>
      <c r="N27">
        <v>0.01</v>
      </c>
      <c r="O27">
        <v>35.07</v>
      </c>
      <c r="P27">
        <v>34.96</v>
      </c>
      <c r="Q27">
        <f t="shared" si="2"/>
        <v>4.0000000000000001E-3</v>
      </c>
      <c r="R27">
        <f t="shared" si="3"/>
        <v>4.0000000000000001E-3</v>
      </c>
      <c r="U27" s="1">
        <f t="shared" si="4"/>
        <v>3.1286093051981899E+37</v>
      </c>
      <c r="V27" s="1">
        <f t="shared" si="5"/>
        <v>7.1204118018833005E+30</v>
      </c>
      <c r="W27" s="1">
        <f t="shared" si="12"/>
        <v>2.47160135110657E-4</v>
      </c>
      <c r="X27" s="1">
        <f t="shared" si="13"/>
        <v>5.625125323487807E-11</v>
      </c>
      <c r="Y27" s="1">
        <f t="shared" si="6"/>
        <v>7.1354247311537645E+38</v>
      </c>
      <c r="Z27" s="1">
        <f t="shared" si="7"/>
        <v>1.5847108750787988E+32</v>
      </c>
      <c r="AA27" s="1">
        <f t="shared" si="14"/>
        <v>5.6369855376114733E-3</v>
      </c>
      <c r="AB27" s="1">
        <f t="shared" si="15"/>
        <v>1.2519215913122509E-9</v>
      </c>
      <c r="AC27" s="1">
        <f t="shared" si="8"/>
        <v>6.4401782188875024E+39</v>
      </c>
      <c r="AD27">
        <f t="shared" si="9"/>
        <v>1.4502553114692518E+33</v>
      </c>
      <c r="AE27" s="1">
        <f t="shared" si="16"/>
        <v>5.087740792921127E-2</v>
      </c>
      <c r="AF27" s="1">
        <f t="shared" si="17"/>
        <v>1.1457016960607088E-8</v>
      </c>
      <c r="AG27" s="1">
        <f t="shared" si="10"/>
        <v>1.1748975549395367E+42</v>
      </c>
      <c r="AH27" s="1">
        <f t="shared" si="18"/>
        <v>1.0821206383195721E+40</v>
      </c>
      <c r="AI27" s="1">
        <f t="shared" si="25"/>
        <v>3.8771619313004713E-2</v>
      </c>
      <c r="AJ27" s="1">
        <f t="shared" si="19"/>
        <v>3.5709981064545879E-4</v>
      </c>
      <c r="AK27" s="1">
        <f t="shared" si="11"/>
        <v>2.1955355159272059</v>
      </c>
      <c r="AL27" s="1">
        <f t="shared" si="20"/>
        <v>7.8762040921097299E-4</v>
      </c>
      <c r="AM27" s="1">
        <f t="shared" si="26"/>
        <v>0.83746701929286083</v>
      </c>
      <c r="AN27" s="1">
        <f t="shared" si="21"/>
        <v>7.8762040917921476E-4</v>
      </c>
      <c r="AO27" s="1">
        <f t="shared" si="27"/>
        <v>-0.11801103715877123</v>
      </c>
      <c r="AP27" s="1">
        <f t="shared" si="22"/>
        <v>7.876204089035904E-4</v>
      </c>
      <c r="AQ27" s="1">
        <f t="shared" si="23"/>
        <v>-0.10999999999999943</v>
      </c>
      <c r="AR27" s="1">
        <f t="shared" si="24"/>
        <v>5.6568542494923801E-3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galaxies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Kaydon Nguyen</dc:creator>
  <cp:lastModifiedBy>Kaydon Nguyen</cp:lastModifiedBy>
  <dcterms:created xsi:type="dcterms:W3CDTF">2026-05-14T03:54:01Z</dcterms:created>
  <dcterms:modified xsi:type="dcterms:W3CDTF">2026-05-18T07:00:09Z</dcterms:modified>
</cp:coreProperties>
</file>